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ón" sheetId="1" state="visible" r:id="rId1"/>
    <sheet name="Excluidos" sheetId="2" state="visible" r:id="rId2"/>
    <sheet name="Resumen por plan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2">
    <font>
      <name val="Calibri"/>
      <family val="2"/>
      <color theme="1"/>
      <sz val="11"/>
      <scheme val="minor"/>
    </font>
    <font>
      <i val="1"/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_Comparación" displayName="T_Comparación" ref="A1:Q444" headerRowCount="1">
  <autoFilter ref="A1:Q444"/>
  <tableColumns count="17">
    <tableColumn id="1" name="SKU"/>
    <tableColumn id="2" name="Planta"/>
    <tableColumn id="3" name="Mes"/>
    <tableColumn id="4" name="Real (TO)"/>
    <tableColumn id="5" name="Planificador (TO)"/>
    <tableColumn id="6" name="Modelo interno (TO)"/>
    <tableColumn id="7" name="Nuestro modelo ml_mean (TO)"/>
    <tableColumn id="8" name="Tiene interno"/>
    <tableColumn id="9" name="Error planificador (TO)"/>
    <tableColumn id="10" name="Error modelo interno (TO)"/>
    <tableColumn id="11" name="Error nuestro modelo (TO)"/>
    <tableColumn id="12" name="Error abs. planificador (TO)"/>
    <tableColumn id="13" name="Error abs. modelo interno (TO)"/>
    <tableColumn id="14" name="Error abs. nuestro modelo (TO)"/>
    <tableColumn id="15" name="Error % planificador"/>
    <tableColumn id="16" name="Error % modelo interno"/>
    <tableColumn id="17" name="Error % nuestro modelo"/>
  </tableColumns>
  <tableStyleInfo name="TableStyleMedium2" showRowStripes="1"/>
</table>
</file>

<file path=xl/tables/table2.xml><?xml version="1.0" encoding="utf-8"?>
<table xmlns="http://schemas.openxmlformats.org/spreadsheetml/2006/main" id="2" name="T_Excluidos" displayName="T_Excluidos" ref="A1:F57" headerRowCount="1">
  <autoFilter ref="A1:F57"/>
  <tableColumns count="6">
    <tableColumn id="1" name="SKU"/>
    <tableColumn id="2" name="Planta"/>
    <tableColumn id="3" name="Mes"/>
    <tableColumn id="4" name="Planificador (TO)"/>
    <tableColumn id="5" name="Motivo"/>
    <tableColumn id="6" name="Explicación"/>
  </tableColumns>
  <tableStyleInfo name="TableStyleMedium2" showRowStripes="1"/>
</table>
</file>

<file path=xl/tables/table3.xml><?xml version="1.0" encoding="utf-8"?>
<table xmlns="http://schemas.openxmlformats.org/spreadsheetml/2006/main" id="3" name="T_Resumenporplanta" displayName="T_Resumenporplanta" ref="A1:O13" headerRowCount="1">
  <autoFilter ref="A1:O13"/>
  <tableColumns count="15">
    <tableColumn id="1" name="Planta"/>
    <tableColumn id="2" name="SKU en las tres fuentes"/>
    <tableColumn id="3" name="Real (TO)"/>
    <tableColumn id="4" name="Planificador (TO)"/>
    <tableColumn id="5" name="Modelo interno (TO)"/>
    <tableColumn id="6" name="Nuestro modelo (TO)"/>
    <tableColumn id="7" name="WAPE planificador"/>
    <tableColumn id="8" name="WAPE modelo interno"/>
    <tableColumn id="9" name="WAPE nuestro modelo"/>
    <tableColumn id="10" name="Acierto planificador"/>
    <tableColumn id="11" name="Acierto modelo interno"/>
    <tableColumn id="12" name="Acierto nuestro modelo"/>
    <tableColumn id="13" name="Sesgo planificador"/>
    <tableColumn id="14" name="Sesgo modelo interno"/>
    <tableColumn id="15" name="Sesgo nuestro model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9" customWidth="1" min="5" max="5"/>
    <col width="21" customWidth="1" min="6" max="6"/>
    <col width="29" customWidth="1" min="7" max="7"/>
    <col width="15" customWidth="1" min="8" max="8"/>
    <col width="25" customWidth="1" min="9" max="9"/>
    <col width="27" customWidth="1" min="10" max="10"/>
    <col width="27" customWidth="1" min="11" max="11"/>
    <col width="30" customWidth="1" min="12" max="12"/>
    <col width="32" customWidth="1" min="13" max="13"/>
    <col width="32" customWidth="1" min="14" max="14"/>
    <col width="22" customWidth="1" min="15" max="15"/>
    <col width="24" customWidth="1" min="16" max="16"/>
    <col width="24" customWidth="1" min="17" max="17"/>
  </cols>
  <sheetData>
    <row r="1" ht="32" customHeight="1">
      <c r="A1" s="1" t="inlineStr">
        <is>
          <t>SKU</t>
        </is>
      </c>
      <c r="B1" s="1" t="inlineStr">
        <is>
          <t>Planta</t>
        </is>
      </c>
      <c r="C1" s="1" t="inlineStr">
        <is>
          <t>Mes</t>
        </is>
      </c>
      <c r="D1" s="1" t="inlineStr">
        <is>
          <t>Real (TO)</t>
        </is>
      </c>
      <c r="E1" s="1" t="inlineStr">
        <is>
          <t>Planificador (TO)</t>
        </is>
      </c>
      <c r="F1" s="1" t="inlineStr">
        <is>
          <t>Modelo interno (TO)</t>
        </is>
      </c>
      <c r="G1" s="1" t="inlineStr">
        <is>
          <t>Nuestro modelo ml_mean (TO)</t>
        </is>
      </c>
      <c r="H1" s="1" t="inlineStr">
        <is>
          <t>Tiene interno</t>
        </is>
      </c>
      <c r="I1" s="1" t="inlineStr">
        <is>
          <t>Error planificador (TO)</t>
        </is>
      </c>
      <c r="J1" s="1" t="inlineStr">
        <is>
          <t>Error modelo interno (TO)</t>
        </is>
      </c>
      <c r="K1" s="1" t="inlineStr">
        <is>
          <t>Error nuestro modelo (TO)</t>
        </is>
      </c>
      <c r="L1" s="1" t="inlineStr">
        <is>
          <t>Error abs. planificador (TO)</t>
        </is>
      </c>
      <c r="M1" s="1" t="inlineStr">
        <is>
          <t>Error abs. modelo interno (TO)</t>
        </is>
      </c>
      <c r="N1" s="1" t="inlineStr">
        <is>
          <t>Error abs. nuestro modelo (TO)</t>
        </is>
      </c>
      <c r="O1" s="1" t="inlineStr">
        <is>
          <t>Error % planificador</t>
        </is>
      </c>
      <c r="P1" s="1" t="inlineStr">
        <is>
          <t>Error % modelo interno</t>
        </is>
      </c>
      <c r="Q1" s="1" t="inlineStr">
        <is>
          <t>Error % nuestro modelo</t>
        </is>
      </c>
    </row>
    <row r="2">
      <c r="A2" t="inlineStr">
        <is>
          <t>HP2/01/115gsm/2190mm</t>
        </is>
      </c>
      <c r="B2" t="inlineStr">
        <is>
          <t>PCEL</t>
        </is>
      </c>
      <c r="C2" t="inlineStr">
        <is>
          <t>2026-09</t>
        </is>
      </c>
      <c r="D2" s="2" t="n">
        <v>105.823</v>
      </c>
      <c r="E2" s="2" t="n">
        <v>112</v>
      </c>
      <c r="F2" s="2" t="n">
        <v>112</v>
      </c>
      <c r="G2" s="2" t="n">
        <v>126.895</v>
      </c>
      <c r="H2">
        <f>ISNUMBER(F2)</f>
        <v/>
      </c>
      <c r="I2" s="2">
        <f>E2-D2</f>
        <v/>
      </c>
      <c r="J2" s="2">
        <f>IF(ISNUMBER(F2),F2-D2,"")</f>
        <v/>
      </c>
      <c r="K2" s="2">
        <f>G2-D2</f>
        <v/>
      </c>
      <c r="L2" s="2">
        <f>ABS(I2)</f>
        <v/>
      </c>
      <c r="M2" s="2">
        <f>IF(ISNUMBER(F2),ABS(F2-D2),"")</f>
        <v/>
      </c>
      <c r="N2" s="2">
        <f>ABS(K2)</f>
        <v/>
      </c>
      <c r="O2" s="3">
        <f>IF(D2=0,"",(E2-D2)/D2)</f>
        <v/>
      </c>
      <c r="P2" s="3">
        <f>IF(ISNUMBER(F2),IF(D2=0,"",(F2-D2)/D2),"")</f>
        <v/>
      </c>
      <c r="Q2" s="3">
        <f>IF(D2=0,"",(G2-D2)/D2)</f>
        <v/>
      </c>
    </row>
    <row r="3">
      <c r="A3" t="inlineStr">
        <is>
          <t>HP2/01/115gsm/2440mm</t>
        </is>
      </c>
      <c r="B3" t="inlineStr">
        <is>
          <t>PCEL</t>
        </is>
      </c>
      <c r="C3" t="inlineStr">
        <is>
          <t>2026-09</t>
        </is>
      </c>
      <c r="D3" s="2" t="n">
        <v>216.365</v>
      </c>
      <c r="E3" s="2" t="n">
        <v>157</v>
      </c>
      <c r="F3" s="2" t="n">
        <v>157</v>
      </c>
      <c r="G3" s="2" t="n">
        <v>180.58</v>
      </c>
      <c r="H3">
        <f>ISNUMBER(F3)</f>
        <v/>
      </c>
      <c r="I3" s="2">
        <f>E3-D3</f>
        <v/>
      </c>
      <c r="J3" s="2">
        <f>IF(ISNUMBER(F3),F3-D3,"")</f>
        <v/>
      </c>
      <c r="K3" s="2">
        <f>G3-D3</f>
        <v/>
      </c>
      <c r="L3" s="2">
        <f>ABS(I3)</f>
        <v/>
      </c>
      <c r="M3" s="2">
        <f>IF(ISNUMBER(F3),ABS(F3-D3),"")</f>
        <v/>
      </c>
      <c r="N3" s="2">
        <f>ABS(K3)</f>
        <v/>
      </c>
      <c r="O3" s="3">
        <f>IF(D3=0,"",(E3-D3)/D3)</f>
        <v/>
      </c>
      <c r="P3" s="3">
        <f>IF(ISNUMBER(F3),IF(D3=0,"",(F3-D3)/D3),"")</f>
        <v/>
      </c>
      <c r="Q3" s="3">
        <f>IF(D3=0,"",(G3-D3)/D3)</f>
        <v/>
      </c>
    </row>
    <row r="4">
      <c r="A4" t="inlineStr">
        <is>
          <t>HP2/01/125gsm/2190mm</t>
        </is>
      </c>
      <c r="B4" t="inlineStr">
        <is>
          <t>PCEL</t>
        </is>
      </c>
      <c r="C4" t="inlineStr">
        <is>
          <t>2026-09</t>
        </is>
      </c>
      <c r="D4" s="2" t="n">
        <v>108.147</v>
      </c>
      <c r="E4" s="2" t="n">
        <v>100</v>
      </c>
      <c r="F4" s="2" t="n">
        <v>193</v>
      </c>
      <c r="G4" s="2" t="n">
        <v>151.441</v>
      </c>
      <c r="H4">
        <f>ISNUMBER(F4)</f>
        <v/>
      </c>
      <c r="I4" s="2">
        <f>E4-D4</f>
        <v/>
      </c>
      <c r="J4" s="2">
        <f>IF(ISNUMBER(F4),F4-D4,"")</f>
        <v/>
      </c>
      <c r="K4" s="2">
        <f>G4-D4</f>
        <v/>
      </c>
      <c r="L4" s="2">
        <f>ABS(I4)</f>
        <v/>
      </c>
      <c r="M4" s="2">
        <f>IF(ISNUMBER(F4),ABS(F4-D4),"")</f>
        <v/>
      </c>
      <c r="N4" s="2">
        <f>ABS(K4)</f>
        <v/>
      </c>
      <c r="O4" s="3">
        <f>IF(D4=0,"",(E4-D4)/D4)</f>
        <v/>
      </c>
      <c r="P4" s="3">
        <f>IF(ISNUMBER(F4),IF(D4=0,"",(F4-D4)/D4),"")</f>
        <v/>
      </c>
      <c r="Q4" s="3">
        <f>IF(D4=0,"",(G4-D4)/D4)</f>
        <v/>
      </c>
    </row>
    <row r="5">
      <c r="A5" t="inlineStr">
        <is>
          <t>HP2/01/125gsm/2440mm</t>
        </is>
      </c>
      <c r="B5" t="inlineStr">
        <is>
          <t>PCEL</t>
        </is>
      </c>
      <c r="C5" t="inlineStr">
        <is>
          <t>2026-09</t>
        </is>
      </c>
      <c r="D5" s="2" t="n">
        <v>157.307</v>
      </c>
      <c r="E5" s="2" t="n">
        <v>100</v>
      </c>
      <c r="F5" s="2" t="n">
        <v>236</v>
      </c>
      <c r="G5" s="2" t="n">
        <v>150.24</v>
      </c>
      <c r="H5">
        <f>ISNUMBER(F5)</f>
        <v/>
      </c>
      <c r="I5" s="2">
        <f>E5-D5</f>
        <v/>
      </c>
      <c r="J5" s="2">
        <f>IF(ISNUMBER(F5),F5-D5,"")</f>
        <v/>
      </c>
      <c r="K5" s="2">
        <f>G5-D5</f>
        <v/>
      </c>
      <c r="L5" s="2">
        <f>ABS(I5)</f>
        <v/>
      </c>
      <c r="M5" s="2">
        <f>IF(ISNUMBER(F5),ABS(F5-D5),"")</f>
        <v/>
      </c>
      <c r="N5" s="2">
        <f>ABS(K5)</f>
        <v/>
      </c>
      <c r="O5" s="3">
        <f>IF(D5=0,"",(E5-D5)/D5)</f>
        <v/>
      </c>
      <c r="P5" s="3">
        <f>IF(ISNUMBER(F5),IF(D5=0,"",(F5-D5)/D5),"")</f>
        <v/>
      </c>
      <c r="Q5" s="3">
        <f>IF(D5=0,"",(G5-D5)/D5)</f>
        <v/>
      </c>
    </row>
    <row r="6">
      <c r="A6" t="inlineStr">
        <is>
          <t>HP2/01/155gsm/2190mm</t>
        </is>
      </c>
      <c r="B6" t="inlineStr">
        <is>
          <t>PCEL</t>
        </is>
      </c>
      <c r="C6" t="inlineStr">
        <is>
          <t>2026-09</t>
        </is>
      </c>
      <c r="D6" s="2" t="n">
        <v>94.19499999999999</v>
      </c>
      <c r="E6" s="2" t="n">
        <v>160</v>
      </c>
      <c r="F6" s="2" t="n">
        <v>255</v>
      </c>
      <c r="G6" s="2" t="n">
        <v>178.823</v>
      </c>
      <c r="H6">
        <f>ISNUMBER(F6)</f>
        <v/>
      </c>
      <c r="I6" s="2">
        <f>E6-D6</f>
        <v/>
      </c>
      <c r="J6" s="2">
        <f>IF(ISNUMBER(F6),F6-D6,"")</f>
        <v/>
      </c>
      <c r="K6" s="2">
        <f>G6-D6</f>
        <v/>
      </c>
      <c r="L6" s="2">
        <f>ABS(I6)</f>
        <v/>
      </c>
      <c r="M6" s="2">
        <f>IF(ISNUMBER(F6),ABS(F6-D6),"")</f>
        <v/>
      </c>
      <c r="N6" s="2">
        <f>ABS(K6)</f>
        <v/>
      </c>
      <c r="O6" s="3">
        <f>IF(D6=0,"",(E6-D6)/D6)</f>
        <v/>
      </c>
      <c r="P6" s="3">
        <f>IF(ISNUMBER(F6),IF(D6=0,"",(F6-D6)/D6),"")</f>
        <v/>
      </c>
      <c r="Q6" s="3">
        <f>IF(D6=0,"",(G6-D6)/D6)</f>
        <v/>
      </c>
    </row>
    <row r="7">
      <c r="A7" t="inlineStr">
        <is>
          <t>HP2/01/155gsm/2440mm</t>
        </is>
      </c>
      <c r="B7" t="inlineStr">
        <is>
          <t>PCEL</t>
        </is>
      </c>
      <c r="C7" t="inlineStr">
        <is>
          <t>2026-09</t>
        </is>
      </c>
      <c r="D7" s="2" t="n">
        <v>190.502</v>
      </c>
      <c r="E7" s="2" t="n">
        <v>135</v>
      </c>
      <c r="F7" s="2" t="n">
        <v>191</v>
      </c>
      <c r="G7" s="2" t="n">
        <v>142.041</v>
      </c>
      <c r="H7">
        <f>ISNUMBER(F7)</f>
        <v/>
      </c>
      <c r="I7" s="2">
        <f>E7-D7</f>
        <v/>
      </c>
      <c r="J7" s="2">
        <f>IF(ISNUMBER(F7),F7-D7,"")</f>
        <v/>
      </c>
      <c r="K7" s="2">
        <f>G7-D7</f>
        <v/>
      </c>
      <c r="L7" s="2">
        <f>ABS(I7)</f>
        <v/>
      </c>
      <c r="M7" s="2">
        <f>IF(ISNUMBER(F7),ABS(F7-D7),"")</f>
        <v/>
      </c>
      <c r="N7" s="2">
        <f>ABS(K7)</f>
        <v/>
      </c>
      <c r="O7" s="3">
        <f>IF(D7=0,"",(E7-D7)/D7)</f>
        <v/>
      </c>
      <c r="P7" s="3">
        <f>IF(ISNUMBER(F7),IF(D7=0,"",(F7-D7)/D7),"")</f>
        <v/>
      </c>
      <c r="Q7" s="3">
        <f>IF(D7=0,"",(G7-D7)/D7)</f>
        <v/>
      </c>
    </row>
    <row r="8">
      <c r="A8" t="inlineStr">
        <is>
          <t>K/01/110gsm/2000mm</t>
        </is>
      </c>
      <c r="B8" t="inlineStr">
        <is>
          <t>PCEL</t>
        </is>
      </c>
      <c r="C8" t="inlineStr">
        <is>
          <t>2026-09</t>
        </is>
      </c>
      <c r="D8" s="2" t="n">
        <v>14.545</v>
      </c>
      <c r="E8" s="2" t="n">
        <v>25</v>
      </c>
      <c r="F8" s="2" t="n">
        <v>37</v>
      </c>
      <c r="G8" s="2" t="n">
        <v>18.836</v>
      </c>
      <c r="H8">
        <f>ISNUMBER(F8)</f>
        <v/>
      </c>
      <c r="I8" s="2">
        <f>E8-D8</f>
        <v/>
      </c>
      <c r="J8" s="2">
        <f>IF(ISNUMBER(F8),F8-D8,"")</f>
        <v/>
      </c>
      <c r="K8" s="2">
        <f>G8-D8</f>
        <v/>
      </c>
      <c r="L8" s="2">
        <f>ABS(I8)</f>
        <v/>
      </c>
      <c r="M8" s="2">
        <f>IF(ISNUMBER(F8),ABS(F8-D8),"")</f>
        <v/>
      </c>
      <c r="N8" s="2">
        <f>ABS(K8)</f>
        <v/>
      </c>
      <c r="O8" s="3">
        <f>IF(D8=0,"",(E8-D8)/D8)</f>
        <v/>
      </c>
      <c r="P8" s="3">
        <f>IF(ISNUMBER(F8),IF(D8=0,"",(F8-D8)/D8),"")</f>
        <v/>
      </c>
      <c r="Q8" s="3">
        <f>IF(D8=0,"",(G8-D8)/D8)</f>
        <v/>
      </c>
    </row>
    <row r="9">
      <c r="A9" t="inlineStr">
        <is>
          <t>K/01/110gsm/2200mm</t>
        </is>
      </c>
      <c r="B9" t="inlineStr">
        <is>
          <t>PCEL</t>
        </is>
      </c>
      <c r="C9" t="inlineStr">
        <is>
          <t>2026-09</t>
        </is>
      </c>
      <c r="D9" s="2" t="n">
        <v>44.145</v>
      </c>
      <c r="E9" s="2" t="n">
        <v>55</v>
      </c>
      <c r="F9" s="2" t="n">
        <v>54</v>
      </c>
      <c r="G9" s="2" t="n">
        <v>35.16</v>
      </c>
      <c r="H9">
        <f>ISNUMBER(F9)</f>
        <v/>
      </c>
      <c r="I9" s="2">
        <f>E9-D9</f>
        <v/>
      </c>
      <c r="J9" s="2">
        <f>IF(ISNUMBER(F9),F9-D9,"")</f>
        <v/>
      </c>
      <c r="K9" s="2">
        <f>G9-D9</f>
        <v/>
      </c>
      <c r="L9" s="2">
        <f>ABS(I9)</f>
        <v/>
      </c>
      <c r="M9" s="2">
        <f>IF(ISNUMBER(F9),ABS(F9-D9),"")</f>
        <v/>
      </c>
      <c r="N9" s="2">
        <f>ABS(K9)</f>
        <v/>
      </c>
      <c r="O9" s="3">
        <f>IF(D9=0,"",(E9-D9)/D9)</f>
        <v/>
      </c>
      <c r="P9" s="3">
        <f>IF(ISNUMBER(F9),IF(D9=0,"",(F9-D9)/D9),"")</f>
        <v/>
      </c>
      <c r="Q9" s="3">
        <f>IF(D9=0,"",(G9-D9)/D9)</f>
        <v/>
      </c>
    </row>
    <row r="10">
      <c r="A10" t="inlineStr">
        <is>
          <t>K/01/110gsm/2450mm</t>
        </is>
      </c>
      <c r="B10" t="inlineStr">
        <is>
          <t>PCEL</t>
        </is>
      </c>
      <c r="C10" t="inlineStr">
        <is>
          <t>2026-09</t>
        </is>
      </c>
      <c r="D10" s="2" t="n">
        <v>62.695</v>
      </c>
      <c r="E10" s="2" t="n">
        <v>75</v>
      </c>
      <c r="F10" s="2" t="n">
        <v>82</v>
      </c>
      <c r="G10" s="2" t="n">
        <v>56.49</v>
      </c>
      <c r="H10">
        <f>ISNUMBER(F10)</f>
        <v/>
      </c>
      <c r="I10" s="2">
        <f>E10-D10</f>
        <v/>
      </c>
      <c r="J10" s="2">
        <f>IF(ISNUMBER(F10),F10-D10,"")</f>
        <v/>
      </c>
      <c r="K10" s="2">
        <f>G10-D10</f>
        <v/>
      </c>
      <c r="L10" s="2">
        <f>ABS(I10)</f>
        <v/>
      </c>
      <c r="M10" s="2">
        <f>IF(ISNUMBER(F10),ABS(F10-D10),"")</f>
        <v/>
      </c>
      <c r="N10" s="2">
        <f>ABS(K10)</f>
        <v/>
      </c>
      <c r="O10" s="3">
        <f>IF(D10=0,"",(E10-D10)/D10)</f>
        <v/>
      </c>
      <c r="P10" s="3">
        <f>IF(ISNUMBER(F10),IF(D10=0,"",(F10-D10)/D10),"")</f>
        <v/>
      </c>
      <c r="Q10" s="3">
        <f>IF(D10=0,"",(G10-D10)/D10)</f>
        <v/>
      </c>
    </row>
    <row r="11">
      <c r="A11" t="inlineStr">
        <is>
          <t>K/01/125gsm/2200mm</t>
        </is>
      </c>
      <c r="B11" t="inlineStr">
        <is>
          <t>PCEL</t>
        </is>
      </c>
      <c r="C11" t="inlineStr">
        <is>
          <t>2026-09</t>
        </is>
      </c>
      <c r="D11" s="2" t="n">
        <v>44.59</v>
      </c>
      <c r="E11" s="2" t="n">
        <v>50</v>
      </c>
      <c r="F11" s="2" t="n">
        <v>76</v>
      </c>
      <c r="G11" s="2" t="n">
        <v>42.548</v>
      </c>
      <c r="H11">
        <f>ISNUMBER(F11)</f>
        <v/>
      </c>
      <c r="I11" s="2">
        <f>E11-D11</f>
        <v/>
      </c>
      <c r="J11" s="2">
        <f>IF(ISNUMBER(F11),F11-D11,"")</f>
        <v/>
      </c>
      <c r="K11" s="2">
        <f>G11-D11</f>
        <v/>
      </c>
      <c r="L11" s="2">
        <f>ABS(I11)</f>
        <v/>
      </c>
      <c r="M11" s="2">
        <f>IF(ISNUMBER(F11),ABS(F11-D11),"")</f>
        <v/>
      </c>
      <c r="N11" s="2">
        <f>ABS(K11)</f>
        <v/>
      </c>
      <c r="O11" s="3">
        <f>IF(D11=0,"",(E11-D11)/D11)</f>
        <v/>
      </c>
      <c r="P11" s="3">
        <f>IF(ISNUMBER(F11),IF(D11=0,"",(F11-D11)/D11),"")</f>
        <v/>
      </c>
      <c r="Q11" s="3">
        <f>IF(D11=0,"",(G11-D11)/D11)</f>
        <v/>
      </c>
    </row>
    <row r="12">
      <c r="A12" t="inlineStr">
        <is>
          <t>K/01/125gsm/2450mm</t>
        </is>
      </c>
      <c r="B12" t="inlineStr">
        <is>
          <t>PCEL</t>
        </is>
      </c>
      <c r="C12" t="inlineStr">
        <is>
          <t>2026-09</t>
        </is>
      </c>
      <c r="D12" s="2" t="n">
        <v>88.179</v>
      </c>
      <c r="E12" s="2" t="n">
        <v>100</v>
      </c>
      <c r="F12" s="2" t="n">
        <v>59</v>
      </c>
      <c r="G12" s="2" t="n">
        <v>46.566</v>
      </c>
      <c r="H12">
        <f>ISNUMBER(F12)</f>
        <v/>
      </c>
      <c r="I12" s="2">
        <f>E12-D12</f>
        <v/>
      </c>
      <c r="J12" s="2">
        <f>IF(ISNUMBER(F12),F12-D12,"")</f>
        <v/>
      </c>
      <c r="K12" s="2">
        <f>G12-D12</f>
        <v/>
      </c>
      <c r="L12" s="2">
        <f>ABS(I12)</f>
        <v/>
      </c>
      <c r="M12" s="2">
        <f>IF(ISNUMBER(F12),ABS(F12-D12),"")</f>
        <v/>
      </c>
      <c r="N12" s="2">
        <f>ABS(K12)</f>
        <v/>
      </c>
      <c r="O12" s="3">
        <f>IF(D12=0,"",(E12-D12)/D12)</f>
        <v/>
      </c>
      <c r="P12" s="3">
        <f>IF(ISNUMBER(F12),IF(D12=0,"",(F12-D12)/D12),"")</f>
        <v/>
      </c>
      <c r="Q12" s="3">
        <f>IF(D12=0,"",(G12-D12)/D12)</f>
        <v/>
      </c>
    </row>
    <row r="13">
      <c r="A13" t="inlineStr">
        <is>
          <t>K/01/160gsm/2000mm</t>
        </is>
      </c>
      <c r="B13" t="inlineStr">
        <is>
          <t>PCEL</t>
        </is>
      </c>
      <c r="C13" t="inlineStr">
        <is>
          <t>2026-09</t>
        </is>
      </c>
      <c r="D13" s="2" t="n">
        <v>34.525</v>
      </c>
      <c r="E13" s="2" t="n">
        <v>45</v>
      </c>
      <c r="F13" s="2" t="n">
        <v>70</v>
      </c>
      <c r="G13" s="2" t="n">
        <v>48.4</v>
      </c>
      <c r="H13">
        <f>ISNUMBER(F13)</f>
        <v/>
      </c>
      <c r="I13" s="2">
        <f>E13-D13</f>
        <v/>
      </c>
      <c r="J13" s="2">
        <f>IF(ISNUMBER(F13),F13-D13,"")</f>
        <v/>
      </c>
      <c r="K13" s="2">
        <f>G13-D13</f>
        <v/>
      </c>
      <c r="L13" s="2">
        <f>ABS(I13)</f>
        <v/>
      </c>
      <c r="M13" s="2">
        <f>IF(ISNUMBER(F13),ABS(F13-D13),"")</f>
        <v/>
      </c>
      <c r="N13" s="2">
        <f>ABS(K13)</f>
        <v/>
      </c>
      <c r="O13" s="3">
        <f>IF(D13=0,"",(E13-D13)/D13)</f>
        <v/>
      </c>
      <c r="P13" s="3">
        <f>IF(ISNUMBER(F13),IF(D13=0,"",(F13-D13)/D13),"")</f>
        <v/>
      </c>
      <c r="Q13" s="3">
        <f>IF(D13=0,"",(G13-D13)/D13)</f>
        <v/>
      </c>
    </row>
    <row r="14">
      <c r="A14" t="inlineStr">
        <is>
          <t>K/01/160gsm/2200mm</t>
        </is>
      </c>
      <c r="B14" t="inlineStr">
        <is>
          <t>PCEL</t>
        </is>
      </c>
      <c r="C14" t="inlineStr">
        <is>
          <t>2026-09</t>
        </is>
      </c>
      <c r="D14" s="2" t="n">
        <v>45.37</v>
      </c>
      <c r="E14" s="2" t="n">
        <v>55</v>
      </c>
      <c r="F14" s="2" t="n">
        <v>33</v>
      </c>
      <c r="G14" s="2" t="n">
        <v>43.832</v>
      </c>
      <c r="H14">
        <f>ISNUMBER(F14)</f>
        <v/>
      </c>
      <c r="I14" s="2">
        <f>E14-D14</f>
        <v/>
      </c>
      <c r="J14" s="2">
        <f>IF(ISNUMBER(F14),F14-D14,"")</f>
        <v/>
      </c>
      <c r="K14" s="2">
        <f>G14-D14</f>
        <v/>
      </c>
      <c r="L14" s="2">
        <f>ABS(I14)</f>
        <v/>
      </c>
      <c r="M14" s="2">
        <f>IF(ISNUMBER(F14),ABS(F14-D14),"")</f>
        <v/>
      </c>
      <c r="N14" s="2">
        <f>ABS(K14)</f>
        <v/>
      </c>
      <c r="O14" s="3">
        <f>IF(D14=0,"",(E14-D14)/D14)</f>
        <v/>
      </c>
      <c r="P14" s="3">
        <f>IF(ISNUMBER(F14),IF(D14=0,"",(F14-D14)/D14),"")</f>
        <v/>
      </c>
      <c r="Q14" s="3">
        <f>IF(D14=0,"",(G14-D14)/D14)</f>
        <v/>
      </c>
    </row>
    <row r="15">
      <c r="A15" t="inlineStr">
        <is>
          <t>K/01/225gsm/2000mm</t>
        </is>
      </c>
      <c r="B15" t="inlineStr">
        <is>
          <t>PCEL</t>
        </is>
      </c>
      <c r="C15" t="inlineStr">
        <is>
          <t>2026-09</t>
        </is>
      </c>
      <c r="D15" s="2" t="n">
        <v>29.485</v>
      </c>
      <c r="E15" s="2" t="n">
        <v>45</v>
      </c>
      <c r="F15" s="2" t="n">
        <v>63</v>
      </c>
      <c r="G15" s="2" t="n">
        <v>47.958</v>
      </c>
      <c r="H15">
        <f>ISNUMBER(F15)</f>
        <v/>
      </c>
      <c r="I15" s="2">
        <f>E15-D15</f>
        <v/>
      </c>
      <c r="J15" s="2">
        <f>IF(ISNUMBER(F15),F15-D15,"")</f>
        <v/>
      </c>
      <c r="K15" s="2">
        <f>G15-D15</f>
        <v/>
      </c>
      <c r="L15" s="2">
        <f>ABS(I15)</f>
        <v/>
      </c>
      <c r="M15" s="2">
        <f>IF(ISNUMBER(F15),ABS(F15-D15),"")</f>
        <v/>
      </c>
      <c r="N15" s="2">
        <f>ABS(K15)</f>
        <v/>
      </c>
      <c r="O15" s="3">
        <f>IF(D15=0,"",(E15-D15)/D15)</f>
        <v/>
      </c>
      <c r="P15" s="3">
        <f>IF(ISNUMBER(F15),IF(D15=0,"",(F15-D15)/D15),"")</f>
        <v/>
      </c>
      <c r="Q15" s="3">
        <f>IF(D15=0,"",(G15-D15)/D15)</f>
        <v/>
      </c>
    </row>
    <row r="16">
      <c r="A16" t="inlineStr">
        <is>
          <t>KW2/01/125gsm/2200mm</t>
        </is>
      </c>
      <c r="B16" t="inlineStr">
        <is>
          <t>PCEL</t>
        </is>
      </c>
      <c r="C16" t="inlineStr">
        <is>
          <t>2026-09</t>
        </is>
      </c>
      <c r="D16" s="2" t="n">
        <v>41.755</v>
      </c>
      <c r="E16" s="2" t="n">
        <v>61</v>
      </c>
      <c r="F16" s="2" t="n">
        <v>61</v>
      </c>
      <c r="G16" s="2" t="n">
        <v>49.931</v>
      </c>
      <c r="H16">
        <f>ISNUMBER(F16)</f>
        <v/>
      </c>
      <c r="I16" s="2">
        <f>E16-D16</f>
        <v/>
      </c>
      <c r="J16" s="2">
        <f>IF(ISNUMBER(F16),F16-D16,"")</f>
        <v/>
      </c>
      <c r="K16" s="2">
        <f>G16-D16</f>
        <v/>
      </c>
      <c r="L16" s="2">
        <f>ABS(I16)</f>
        <v/>
      </c>
      <c r="M16" s="2">
        <f>IF(ISNUMBER(F16),ABS(F16-D16),"")</f>
        <v/>
      </c>
      <c r="N16" s="2">
        <f>ABS(K16)</f>
        <v/>
      </c>
      <c r="O16" s="3">
        <f>IF(D16=0,"",(E16-D16)/D16)</f>
        <v/>
      </c>
      <c r="P16" s="3">
        <f>IF(ISNUMBER(F16),IF(D16=0,"",(F16-D16)/D16),"")</f>
        <v/>
      </c>
      <c r="Q16" s="3">
        <f>IF(D16=0,"",(G16-D16)/D16)</f>
        <v/>
      </c>
    </row>
    <row r="17">
      <c r="A17" t="inlineStr">
        <is>
          <t>KW2/01/125gsm/2450mm</t>
        </is>
      </c>
      <c r="B17" t="inlineStr">
        <is>
          <t>PCEL</t>
        </is>
      </c>
      <c r="C17" t="inlineStr">
        <is>
          <t>2026-09</t>
        </is>
      </c>
      <c r="D17" s="2" t="n">
        <v>78.10299999999999</v>
      </c>
      <c r="E17" s="2" t="n">
        <v>90</v>
      </c>
      <c r="F17" s="2" t="n">
        <v>74</v>
      </c>
      <c r="G17" s="2" t="n">
        <v>80.173</v>
      </c>
      <c r="H17">
        <f>ISNUMBER(F17)</f>
        <v/>
      </c>
      <c r="I17" s="2">
        <f>E17-D17</f>
        <v/>
      </c>
      <c r="J17" s="2">
        <f>IF(ISNUMBER(F17),F17-D17,"")</f>
        <v/>
      </c>
      <c r="K17" s="2">
        <f>G17-D17</f>
        <v/>
      </c>
      <c r="L17" s="2">
        <f>ABS(I17)</f>
        <v/>
      </c>
      <c r="M17" s="2">
        <f>IF(ISNUMBER(F17),ABS(F17-D17),"")</f>
        <v/>
      </c>
      <c r="N17" s="2">
        <f>ABS(K17)</f>
        <v/>
      </c>
      <c r="O17" s="3">
        <f>IF(D17=0,"",(E17-D17)/D17)</f>
        <v/>
      </c>
      <c r="P17" s="3">
        <f>IF(ISNUMBER(F17),IF(D17=0,"",(F17-D17)/D17),"")</f>
        <v/>
      </c>
      <c r="Q17" s="3">
        <f>IF(D17=0,"",(G17-D17)/D17)</f>
        <v/>
      </c>
    </row>
    <row r="18">
      <c r="A18" t="inlineStr">
        <is>
          <t>TSL/01/125gsm/2200mm</t>
        </is>
      </c>
      <c r="B18" t="inlineStr">
        <is>
          <t>PCEL</t>
        </is>
      </c>
      <c r="C18" t="inlineStr">
        <is>
          <t>2026-09</t>
        </is>
      </c>
      <c r="D18" s="2" t="n">
        <v>42.014</v>
      </c>
      <c r="E18" s="2" t="n">
        <v>90</v>
      </c>
      <c r="F18" s="2" t="n">
        <v>104</v>
      </c>
      <c r="G18" s="2" t="n">
        <v>61.734</v>
      </c>
      <c r="H18">
        <f>ISNUMBER(F18)</f>
        <v/>
      </c>
      <c r="I18" s="2">
        <f>E18-D18</f>
        <v/>
      </c>
      <c r="J18" s="2">
        <f>IF(ISNUMBER(F18),F18-D18,"")</f>
        <v/>
      </c>
      <c r="K18" s="2">
        <f>G18-D18</f>
        <v/>
      </c>
      <c r="L18" s="2">
        <f>ABS(I18)</f>
        <v/>
      </c>
      <c r="M18" s="2">
        <f>IF(ISNUMBER(F18),ABS(F18-D18),"")</f>
        <v/>
      </c>
      <c r="N18" s="2">
        <f>ABS(K18)</f>
        <v/>
      </c>
      <c r="O18" s="3">
        <f>IF(D18=0,"",(E18-D18)/D18)</f>
        <v/>
      </c>
      <c r="P18" s="3">
        <f>IF(ISNUMBER(F18),IF(D18=0,"",(F18-D18)/D18),"")</f>
        <v/>
      </c>
      <c r="Q18" s="3">
        <f>IF(D18=0,"",(G18-D18)/D18)</f>
        <v/>
      </c>
    </row>
    <row r="19">
      <c r="A19" t="inlineStr">
        <is>
          <t>TSL/01/125gsm/2450mm</t>
        </is>
      </c>
      <c r="B19" t="inlineStr">
        <is>
          <t>PCEL</t>
        </is>
      </c>
      <c r="C19" t="inlineStr">
        <is>
          <t>2026-09</t>
        </is>
      </c>
      <c r="D19" s="2" t="n">
        <v>34.014</v>
      </c>
      <c r="E19" s="2" t="n">
        <v>95</v>
      </c>
      <c r="F19" s="2" t="n">
        <v>88</v>
      </c>
      <c r="G19" s="2" t="n">
        <v>48.907</v>
      </c>
      <c r="H19">
        <f>ISNUMBER(F19)</f>
        <v/>
      </c>
      <c r="I19" s="2">
        <f>E19-D19</f>
        <v/>
      </c>
      <c r="J19" s="2">
        <f>IF(ISNUMBER(F19),F19-D19,"")</f>
        <v/>
      </c>
      <c r="K19" s="2">
        <f>G19-D19</f>
        <v/>
      </c>
      <c r="L19" s="2">
        <f>ABS(I19)</f>
        <v/>
      </c>
      <c r="M19" s="2">
        <f>IF(ISNUMBER(F19),ABS(F19-D19),"")</f>
        <v/>
      </c>
      <c r="N19" s="2">
        <f>ABS(K19)</f>
        <v/>
      </c>
      <c r="O19" s="3">
        <f>IF(D19=0,"",(E19-D19)/D19)</f>
        <v/>
      </c>
      <c r="P19" s="3">
        <f>IF(ISNUMBER(F19),IF(D19=0,"",(F19-D19)/D19),"")</f>
        <v/>
      </c>
      <c r="Q19" s="3">
        <f>IF(D19=0,"",(G19-D19)/D19)</f>
        <v/>
      </c>
    </row>
    <row r="20">
      <c r="A20" t="inlineStr">
        <is>
          <t>TSL/01/80gsm/2200mm</t>
        </is>
      </c>
      <c r="B20" t="inlineStr">
        <is>
          <t>PCEL</t>
        </is>
      </c>
      <c r="C20" t="inlineStr">
        <is>
          <t>2026-09</t>
        </is>
      </c>
      <c r="D20" s="2" t="n">
        <v>86.15000000000001</v>
      </c>
      <c r="E20" s="2" t="n">
        <v>180</v>
      </c>
      <c r="F20" s="2" t="n">
        <v>26</v>
      </c>
      <c r="G20" s="2" t="n">
        <v>88.502</v>
      </c>
      <c r="H20">
        <f>ISNUMBER(F20)</f>
        <v/>
      </c>
      <c r="I20" s="2">
        <f>E20-D20</f>
        <v/>
      </c>
      <c r="J20" s="2">
        <f>IF(ISNUMBER(F20),F20-D20,"")</f>
        <v/>
      </c>
      <c r="K20" s="2">
        <f>G20-D20</f>
        <v/>
      </c>
      <c r="L20" s="2">
        <f>ABS(I20)</f>
        <v/>
      </c>
      <c r="M20" s="2">
        <f>IF(ISNUMBER(F20),ABS(F20-D20),"")</f>
        <v/>
      </c>
      <c r="N20" s="2">
        <f>ABS(K20)</f>
        <v/>
      </c>
      <c r="O20" s="3">
        <f>IF(D20=0,"",(E20-D20)/D20)</f>
        <v/>
      </c>
      <c r="P20" s="3">
        <f>IF(ISNUMBER(F20),IF(D20=0,"",(F20-D20)/D20),"")</f>
        <v/>
      </c>
      <c r="Q20" s="3">
        <f>IF(D20=0,"",(G20-D20)/D20)</f>
        <v/>
      </c>
    </row>
    <row r="21">
      <c r="A21" t="inlineStr">
        <is>
          <t>TSL/01/80gsm/2450mm</t>
        </is>
      </c>
      <c r="B21" t="inlineStr">
        <is>
          <t>PCEL</t>
        </is>
      </c>
      <c r="C21" t="inlineStr">
        <is>
          <t>2026-09</t>
        </is>
      </c>
      <c r="D21" s="2" t="n">
        <v>338.246</v>
      </c>
      <c r="E21" s="2" t="n">
        <v>325</v>
      </c>
      <c r="F21" s="2" t="n">
        <v>116</v>
      </c>
      <c r="G21" s="2" t="n">
        <v>197.508</v>
      </c>
      <c r="H21">
        <f>ISNUMBER(F21)</f>
        <v/>
      </c>
      <c r="I21" s="2">
        <f>E21-D21</f>
        <v/>
      </c>
      <c r="J21" s="2">
        <f>IF(ISNUMBER(F21),F21-D21,"")</f>
        <v/>
      </c>
      <c r="K21" s="2">
        <f>G21-D21</f>
        <v/>
      </c>
      <c r="L21" s="2">
        <f>ABS(I21)</f>
        <v/>
      </c>
      <c r="M21" s="2">
        <f>IF(ISNUMBER(F21),ABS(F21-D21),"")</f>
        <v/>
      </c>
      <c r="N21" s="2">
        <f>ABS(K21)</f>
        <v/>
      </c>
      <c r="O21" s="3">
        <f>IF(D21=0,"",(E21-D21)/D21)</f>
        <v/>
      </c>
      <c r="P21" s="3">
        <f>IF(ISNUMBER(F21),IF(D21=0,"",(F21-D21)/D21),"")</f>
        <v/>
      </c>
      <c r="Q21" s="3">
        <f>IF(D21=0,"",(G21-D21)/D21)</f>
        <v/>
      </c>
    </row>
    <row r="22">
      <c r="A22" t="inlineStr">
        <is>
          <t>HP2/01/115gsm/1990mm</t>
        </is>
      </c>
      <c r="B22" t="inlineStr">
        <is>
          <t>SALC</t>
        </is>
      </c>
      <c r="C22" t="inlineStr">
        <is>
          <t>2026-09</t>
        </is>
      </c>
      <c r="D22" s="2" t="n">
        <v>68.997</v>
      </c>
      <c r="E22" s="2" t="n">
        <v>34</v>
      </c>
      <c r="F22" s="2" t="n">
        <v>53</v>
      </c>
      <c r="G22" s="2" t="n">
        <v>34.583</v>
      </c>
      <c r="H22">
        <f>ISNUMBER(F22)</f>
        <v/>
      </c>
      <c r="I22" s="2">
        <f>E22-D22</f>
        <v/>
      </c>
      <c r="J22" s="2">
        <f>IF(ISNUMBER(F22),F22-D22,"")</f>
        <v/>
      </c>
      <c r="K22" s="2">
        <f>G22-D22</f>
        <v/>
      </c>
      <c r="L22" s="2">
        <f>ABS(I22)</f>
        <v/>
      </c>
      <c r="M22" s="2">
        <f>IF(ISNUMBER(F22),ABS(F22-D22),"")</f>
        <v/>
      </c>
      <c r="N22" s="2">
        <f>ABS(K22)</f>
        <v/>
      </c>
      <c r="O22" s="3">
        <f>IF(D22=0,"",(E22-D22)/D22)</f>
        <v/>
      </c>
      <c r="P22" s="3">
        <f>IF(ISNUMBER(F22),IF(D22=0,"",(F22-D22)/D22),"")</f>
        <v/>
      </c>
      <c r="Q22" s="3">
        <f>IF(D22=0,"",(G22-D22)/D22)</f>
        <v/>
      </c>
    </row>
    <row r="23">
      <c r="A23" t="inlineStr">
        <is>
          <t>HP2/01/115gsm/2290mm</t>
        </is>
      </c>
      <c r="B23" t="inlineStr">
        <is>
          <t>SALC</t>
        </is>
      </c>
      <c r="C23" t="inlineStr">
        <is>
          <t>2026-09</t>
        </is>
      </c>
      <c r="D23" s="2" t="n">
        <v>153.29</v>
      </c>
      <c r="E23" s="2" t="n">
        <v>140</v>
      </c>
      <c r="F23" s="2" t="n">
        <v>134</v>
      </c>
      <c r="G23" s="2" t="n">
        <v>137.47</v>
      </c>
      <c r="H23">
        <f>ISNUMBER(F23)</f>
        <v/>
      </c>
      <c r="I23" s="2">
        <f>E23-D23</f>
        <v/>
      </c>
      <c r="J23" s="2">
        <f>IF(ISNUMBER(F23),F23-D23,"")</f>
        <v/>
      </c>
      <c r="K23" s="2">
        <f>G23-D23</f>
        <v/>
      </c>
      <c r="L23" s="2">
        <f>ABS(I23)</f>
        <v/>
      </c>
      <c r="M23" s="2">
        <f>IF(ISNUMBER(F23),ABS(F23-D23),"")</f>
        <v/>
      </c>
      <c r="N23" s="2">
        <f>ABS(K23)</f>
        <v/>
      </c>
      <c r="O23" s="3">
        <f>IF(D23=0,"",(E23-D23)/D23)</f>
        <v/>
      </c>
      <c r="P23" s="3">
        <f>IF(ISNUMBER(F23),IF(D23=0,"",(F23-D23)/D23),"")</f>
        <v/>
      </c>
      <c r="Q23" s="3">
        <f>IF(D23=0,"",(G23-D23)/D23)</f>
        <v/>
      </c>
    </row>
    <row r="24">
      <c r="A24" t="inlineStr">
        <is>
          <t>HP2/01/115gsm/2440mm</t>
        </is>
      </c>
      <c r="B24" t="inlineStr">
        <is>
          <t>SALC</t>
        </is>
      </c>
      <c r="C24" t="inlineStr">
        <is>
          <t>2026-09</t>
        </is>
      </c>
      <c r="D24" s="2" t="n">
        <v>159.851</v>
      </c>
      <c r="E24" s="2" t="n">
        <v>190</v>
      </c>
      <c r="F24" s="2" t="n">
        <v>166</v>
      </c>
      <c r="G24" s="2" t="n">
        <v>161.629</v>
      </c>
      <c r="H24">
        <f>ISNUMBER(F24)</f>
        <v/>
      </c>
      <c r="I24" s="2">
        <f>E24-D24</f>
        <v/>
      </c>
      <c r="J24" s="2">
        <f>IF(ISNUMBER(F24),F24-D24,"")</f>
        <v/>
      </c>
      <c r="K24" s="2">
        <f>G24-D24</f>
        <v/>
      </c>
      <c r="L24" s="2">
        <f>ABS(I24)</f>
        <v/>
      </c>
      <c r="M24" s="2">
        <f>IF(ISNUMBER(F24),ABS(F24-D24),"")</f>
        <v/>
      </c>
      <c r="N24" s="2">
        <f>ABS(K24)</f>
        <v/>
      </c>
      <c r="O24" s="3">
        <f>IF(D24=0,"",(E24-D24)/D24)</f>
        <v/>
      </c>
      <c r="P24" s="3">
        <f>IF(ISNUMBER(F24),IF(D24=0,"",(F24-D24)/D24),"")</f>
        <v/>
      </c>
      <c r="Q24" s="3">
        <f>IF(D24=0,"",(G24-D24)/D24)</f>
        <v/>
      </c>
    </row>
    <row r="25">
      <c r="A25" t="inlineStr">
        <is>
          <t>HP2/01/125gsm/1990mm</t>
        </is>
      </c>
      <c r="B25" t="inlineStr">
        <is>
          <t>SALC</t>
        </is>
      </c>
      <c r="C25" t="inlineStr">
        <is>
          <t>2026-09</t>
        </is>
      </c>
      <c r="D25" s="2" t="n">
        <v>51.85</v>
      </c>
      <c r="E25" s="2" t="n">
        <v>75</v>
      </c>
      <c r="F25" s="2" t="n">
        <v>84</v>
      </c>
      <c r="G25" s="2" t="n">
        <v>45.603</v>
      </c>
      <c r="H25">
        <f>ISNUMBER(F25)</f>
        <v/>
      </c>
      <c r="I25" s="2">
        <f>E25-D25</f>
        <v/>
      </c>
      <c r="J25" s="2">
        <f>IF(ISNUMBER(F25),F25-D25,"")</f>
        <v/>
      </c>
      <c r="K25" s="2">
        <f>G25-D25</f>
        <v/>
      </c>
      <c r="L25" s="2">
        <f>ABS(I25)</f>
        <v/>
      </c>
      <c r="M25" s="2">
        <f>IF(ISNUMBER(F25),ABS(F25-D25),"")</f>
        <v/>
      </c>
      <c r="N25" s="2">
        <f>ABS(K25)</f>
        <v/>
      </c>
      <c r="O25" s="3">
        <f>IF(D25=0,"",(E25-D25)/D25)</f>
        <v/>
      </c>
      <c r="P25" s="3">
        <f>IF(ISNUMBER(F25),IF(D25=0,"",(F25-D25)/D25),"")</f>
        <v/>
      </c>
      <c r="Q25" s="3">
        <f>IF(D25=0,"",(G25-D25)/D25)</f>
        <v/>
      </c>
    </row>
    <row r="26">
      <c r="A26" t="inlineStr">
        <is>
          <t>HP2/01/125gsm/2290mm</t>
        </is>
      </c>
      <c r="B26" t="inlineStr">
        <is>
          <t>SALC</t>
        </is>
      </c>
      <c r="C26" t="inlineStr">
        <is>
          <t>2026-09</t>
        </is>
      </c>
      <c r="D26" s="2" t="n">
        <v>126.301</v>
      </c>
      <c r="E26" s="2" t="n">
        <v>156</v>
      </c>
      <c r="F26" s="2" t="n">
        <v>153</v>
      </c>
      <c r="G26" s="2" t="n">
        <v>154.701</v>
      </c>
      <c r="H26">
        <f>ISNUMBER(F26)</f>
        <v/>
      </c>
      <c r="I26" s="2">
        <f>E26-D26</f>
        <v/>
      </c>
      <c r="J26" s="2">
        <f>IF(ISNUMBER(F26),F26-D26,"")</f>
        <v/>
      </c>
      <c r="K26" s="2">
        <f>G26-D26</f>
        <v/>
      </c>
      <c r="L26" s="2">
        <f>ABS(I26)</f>
        <v/>
      </c>
      <c r="M26" s="2">
        <f>IF(ISNUMBER(F26),ABS(F26-D26),"")</f>
        <v/>
      </c>
      <c r="N26" s="2">
        <f>ABS(K26)</f>
        <v/>
      </c>
      <c r="O26" s="3">
        <f>IF(D26=0,"",(E26-D26)/D26)</f>
        <v/>
      </c>
      <c r="P26" s="3">
        <f>IF(ISNUMBER(F26),IF(D26=0,"",(F26-D26)/D26),"")</f>
        <v/>
      </c>
      <c r="Q26" s="3">
        <f>IF(D26=0,"",(G26-D26)/D26)</f>
        <v/>
      </c>
    </row>
    <row r="27">
      <c r="A27" t="inlineStr">
        <is>
          <t>HP2/01/125gsm/2440mm</t>
        </is>
      </c>
      <c r="B27" t="inlineStr">
        <is>
          <t>SALC</t>
        </is>
      </c>
      <c r="C27" t="inlineStr">
        <is>
          <t>2026-09</t>
        </is>
      </c>
      <c r="D27" s="2" t="n">
        <v>114.993</v>
      </c>
      <c r="E27" s="2" t="n">
        <v>135</v>
      </c>
      <c r="F27" s="2" t="n">
        <v>145</v>
      </c>
      <c r="G27" s="2" t="n">
        <v>131.766</v>
      </c>
      <c r="H27">
        <f>ISNUMBER(F27)</f>
        <v/>
      </c>
      <c r="I27" s="2">
        <f>E27-D27</f>
        <v/>
      </c>
      <c r="J27" s="2">
        <f>IF(ISNUMBER(F27),F27-D27,"")</f>
        <v/>
      </c>
      <c r="K27" s="2">
        <f>G27-D27</f>
        <v/>
      </c>
      <c r="L27" s="2">
        <f>ABS(I27)</f>
        <v/>
      </c>
      <c r="M27" s="2">
        <f>IF(ISNUMBER(F27),ABS(F27-D27),"")</f>
        <v/>
      </c>
      <c r="N27" s="2">
        <f>ABS(K27)</f>
        <v/>
      </c>
      <c r="O27" s="3">
        <f>IF(D27=0,"",(E27-D27)/D27)</f>
        <v/>
      </c>
      <c r="P27" s="3">
        <f>IF(ISNUMBER(F27),IF(D27=0,"",(F27-D27)/D27),"")</f>
        <v/>
      </c>
      <c r="Q27" s="3">
        <f>IF(D27=0,"",(G27-D27)/D27)</f>
        <v/>
      </c>
    </row>
    <row r="28">
      <c r="A28" t="inlineStr">
        <is>
          <t>HP2/01/155gsm/1990mm</t>
        </is>
      </c>
      <c r="B28" t="inlineStr">
        <is>
          <t>SALC</t>
        </is>
      </c>
      <c r="C28" t="inlineStr">
        <is>
          <t>2026-09</t>
        </is>
      </c>
      <c r="D28" s="2" t="n">
        <v>79.64100000000001</v>
      </c>
      <c r="E28" s="2" t="n">
        <v>75</v>
      </c>
      <c r="F28" s="2" t="n">
        <v>60</v>
      </c>
      <c r="G28" s="2" t="n">
        <v>72.617</v>
      </c>
      <c r="H28">
        <f>ISNUMBER(F28)</f>
        <v/>
      </c>
      <c r="I28" s="2">
        <f>E28-D28</f>
        <v/>
      </c>
      <c r="J28" s="2">
        <f>IF(ISNUMBER(F28),F28-D28,"")</f>
        <v/>
      </c>
      <c r="K28" s="2">
        <f>G28-D28</f>
        <v/>
      </c>
      <c r="L28" s="2">
        <f>ABS(I28)</f>
        <v/>
      </c>
      <c r="M28" s="2">
        <f>IF(ISNUMBER(F28),ABS(F28-D28),"")</f>
        <v/>
      </c>
      <c r="N28" s="2">
        <f>ABS(K28)</f>
        <v/>
      </c>
      <c r="O28" s="3">
        <f>IF(D28=0,"",(E28-D28)/D28)</f>
        <v/>
      </c>
      <c r="P28" s="3">
        <f>IF(ISNUMBER(F28),IF(D28=0,"",(F28-D28)/D28),"")</f>
        <v/>
      </c>
      <c r="Q28" s="3">
        <f>IF(D28=0,"",(G28-D28)/D28)</f>
        <v/>
      </c>
    </row>
    <row r="29">
      <c r="A29" t="inlineStr">
        <is>
          <t>HP2/01/155gsm/2290mm</t>
        </is>
      </c>
      <c r="B29" t="inlineStr">
        <is>
          <t>SALC</t>
        </is>
      </c>
      <c r="C29" t="inlineStr">
        <is>
          <t>2026-09</t>
        </is>
      </c>
      <c r="D29" s="2" t="n">
        <v>274.999</v>
      </c>
      <c r="E29" s="2" t="n">
        <v>275</v>
      </c>
      <c r="F29" s="2" t="n">
        <v>172</v>
      </c>
      <c r="G29" s="2" t="n">
        <v>258.05</v>
      </c>
      <c r="H29">
        <f>ISNUMBER(F29)</f>
        <v/>
      </c>
      <c r="I29" s="2">
        <f>E29-D29</f>
        <v/>
      </c>
      <c r="J29" s="2">
        <f>IF(ISNUMBER(F29),F29-D29,"")</f>
        <v/>
      </c>
      <c r="K29" s="2">
        <f>G29-D29</f>
        <v/>
      </c>
      <c r="L29" s="2">
        <f>ABS(I29)</f>
        <v/>
      </c>
      <c r="M29" s="2">
        <f>IF(ISNUMBER(F29),ABS(F29-D29),"")</f>
        <v/>
      </c>
      <c r="N29" s="2">
        <f>ABS(K29)</f>
        <v/>
      </c>
      <c r="O29" s="3">
        <f>IF(D29=0,"",(E29-D29)/D29)</f>
        <v/>
      </c>
      <c r="P29" s="3">
        <f>IF(ISNUMBER(F29),IF(D29=0,"",(F29-D29)/D29),"")</f>
        <v/>
      </c>
      <c r="Q29" s="3">
        <f>IF(D29=0,"",(G29-D29)/D29)</f>
        <v/>
      </c>
    </row>
    <row r="30">
      <c r="A30" t="inlineStr">
        <is>
          <t>HP2/01/155gsm/2440mm</t>
        </is>
      </c>
      <c r="B30" t="inlineStr">
        <is>
          <t>SALC</t>
        </is>
      </c>
      <c r="C30" t="inlineStr">
        <is>
          <t>2026-09</t>
        </is>
      </c>
      <c r="D30" s="2" t="n">
        <v>328.631</v>
      </c>
      <c r="E30" s="2" t="n">
        <v>311</v>
      </c>
      <c r="F30" s="2" t="n">
        <v>168</v>
      </c>
      <c r="G30" s="2" t="n">
        <v>291.567</v>
      </c>
      <c r="H30">
        <f>ISNUMBER(F30)</f>
        <v/>
      </c>
      <c r="I30" s="2">
        <f>E30-D30</f>
        <v/>
      </c>
      <c r="J30" s="2">
        <f>IF(ISNUMBER(F30),F30-D30,"")</f>
        <v/>
      </c>
      <c r="K30" s="2">
        <f>G30-D30</f>
        <v/>
      </c>
      <c r="L30" s="2">
        <f>ABS(I30)</f>
        <v/>
      </c>
      <c r="M30" s="2">
        <f>IF(ISNUMBER(F30),ABS(F30-D30),"")</f>
        <v/>
      </c>
      <c r="N30" s="2">
        <f>ABS(K30)</f>
        <v/>
      </c>
      <c r="O30" s="3">
        <f>IF(D30=0,"",(E30-D30)/D30)</f>
        <v/>
      </c>
      <c r="P30" s="3">
        <f>IF(ISNUMBER(F30),IF(D30=0,"",(F30-D30)/D30),"")</f>
        <v/>
      </c>
      <c r="Q30" s="3">
        <f>IF(D30=0,"",(G30-D30)/D30)</f>
        <v/>
      </c>
    </row>
    <row r="31">
      <c r="A31" t="inlineStr">
        <is>
          <t>HP2/01/155gsm/2500mm</t>
        </is>
      </c>
      <c r="B31" t="inlineStr">
        <is>
          <t>SALC</t>
        </is>
      </c>
      <c r="C31" t="inlineStr">
        <is>
          <t>2026-09</t>
        </is>
      </c>
      <c r="D31" s="2" t="n">
        <v>109.376</v>
      </c>
      <c r="E31" s="2" t="n">
        <v>110</v>
      </c>
      <c r="F31" s="4" t="inlineStr">
        <is>
          <t>faltante</t>
        </is>
      </c>
      <c r="G31" s="2" t="n">
        <v>94.18899999999999</v>
      </c>
      <c r="H31">
        <f>ISNUMBER(F31)</f>
        <v/>
      </c>
      <c r="I31" s="2">
        <f>E31-D31</f>
        <v/>
      </c>
      <c r="J31" s="2">
        <f>IF(ISNUMBER(F31),F31-D31,"")</f>
        <v/>
      </c>
      <c r="K31" s="2">
        <f>G31-D31</f>
        <v/>
      </c>
      <c r="L31" s="2">
        <f>ABS(I31)</f>
        <v/>
      </c>
      <c r="M31" s="2">
        <f>IF(ISNUMBER(F31),ABS(F31-D31),"")</f>
        <v/>
      </c>
      <c r="N31" s="2">
        <f>ABS(K31)</f>
        <v/>
      </c>
      <c r="O31" s="3">
        <f>IF(D31=0,"",(E31-D31)/D31)</f>
        <v/>
      </c>
      <c r="P31" s="3">
        <f>IF(ISNUMBER(F31),IF(D31=0,"",(F31-D31)/D31),"")</f>
        <v/>
      </c>
      <c r="Q31" s="3">
        <f>IF(D31=0,"",(G31-D31)/D31)</f>
        <v/>
      </c>
    </row>
    <row r="32">
      <c r="A32" t="inlineStr">
        <is>
          <t>K/01/110gsm/2300mm</t>
        </is>
      </c>
      <c r="B32" t="inlineStr">
        <is>
          <t>SALC</t>
        </is>
      </c>
      <c r="C32" t="inlineStr">
        <is>
          <t>2026-09</t>
        </is>
      </c>
      <c r="D32" s="2" t="n">
        <v>38.591</v>
      </c>
      <c r="E32" s="2" t="n">
        <v>40</v>
      </c>
      <c r="F32" s="2" t="n">
        <v>35</v>
      </c>
      <c r="G32" s="2" t="n">
        <v>38.813</v>
      </c>
      <c r="H32">
        <f>ISNUMBER(F32)</f>
        <v/>
      </c>
      <c r="I32" s="2">
        <f>E32-D32</f>
        <v/>
      </c>
      <c r="J32" s="2">
        <f>IF(ISNUMBER(F32),F32-D32,"")</f>
        <v/>
      </c>
      <c r="K32" s="2">
        <f>G32-D32</f>
        <v/>
      </c>
      <c r="L32" s="2">
        <f>ABS(I32)</f>
        <v/>
      </c>
      <c r="M32" s="2">
        <f>IF(ISNUMBER(F32),ABS(F32-D32),"")</f>
        <v/>
      </c>
      <c r="N32" s="2">
        <f>ABS(K32)</f>
        <v/>
      </c>
      <c r="O32" s="3">
        <f>IF(D32=0,"",(E32-D32)/D32)</f>
        <v/>
      </c>
      <c r="P32" s="3">
        <f>IF(ISNUMBER(F32),IF(D32=0,"",(F32-D32)/D32),"")</f>
        <v/>
      </c>
      <c r="Q32" s="3">
        <f>IF(D32=0,"",(G32-D32)/D32)</f>
        <v/>
      </c>
    </row>
    <row r="33">
      <c r="A33" t="inlineStr">
        <is>
          <t>K/01/110gsm/2450mm</t>
        </is>
      </c>
      <c r="B33" t="inlineStr">
        <is>
          <t>SALC</t>
        </is>
      </c>
      <c r="C33" t="inlineStr">
        <is>
          <t>2026-09</t>
        </is>
      </c>
      <c r="D33" s="2" t="n">
        <v>24.528</v>
      </c>
      <c r="E33" s="2" t="n">
        <v>28</v>
      </c>
      <c r="F33" s="2" t="n">
        <v>32</v>
      </c>
      <c r="G33" s="2" t="n">
        <v>26.554</v>
      </c>
      <c r="H33">
        <f>ISNUMBER(F33)</f>
        <v/>
      </c>
      <c r="I33" s="2">
        <f>E33-D33</f>
        <v/>
      </c>
      <c r="J33" s="2">
        <f>IF(ISNUMBER(F33),F33-D33,"")</f>
        <v/>
      </c>
      <c r="K33" s="2">
        <f>G33-D33</f>
        <v/>
      </c>
      <c r="L33" s="2">
        <f>ABS(I33)</f>
        <v/>
      </c>
      <c r="M33" s="2">
        <f>IF(ISNUMBER(F33),ABS(F33-D33),"")</f>
        <v/>
      </c>
      <c r="N33" s="2">
        <f>ABS(K33)</f>
        <v/>
      </c>
      <c r="O33" s="3">
        <f>IF(D33=0,"",(E33-D33)/D33)</f>
        <v/>
      </c>
      <c r="P33" s="3">
        <f>IF(ISNUMBER(F33),IF(D33=0,"",(F33-D33)/D33),"")</f>
        <v/>
      </c>
      <c r="Q33" s="3">
        <f>IF(D33=0,"",(G33-D33)/D33)</f>
        <v/>
      </c>
    </row>
    <row r="34">
      <c r="A34" t="inlineStr">
        <is>
          <t>K/01/200gsm/2300mm</t>
        </is>
      </c>
      <c r="B34" t="inlineStr">
        <is>
          <t>SALC</t>
        </is>
      </c>
      <c r="C34" t="inlineStr">
        <is>
          <t>2026-09</t>
        </is>
      </c>
      <c r="D34" s="2" t="n">
        <v>68.876</v>
      </c>
      <c r="E34" s="2" t="n">
        <v>58</v>
      </c>
      <c r="F34" s="2" t="n">
        <v>51</v>
      </c>
      <c r="G34" s="2" t="n">
        <v>51.243</v>
      </c>
      <c r="H34">
        <f>ISNUMBER(F34)</f>
        <v/>
      </c>
      <c r="I34" s="2">
        <f>E34-D34</f>
        <v/>
      </c>
      <c r="J34" s="2">
        <f>IF(ISNUMBER(F34),F34-D34,"")</f>
        <v/>
      </c>
      <c r="K34" s="2">
        <f>G34-D34</f>
        <v/>
      </c>
      <c r="L34" s="2">
        <f>ABS(I34)</f>
        <v/>
      </c>
      <c r="M34" s="2">
        <f>IF(ISNUMBER(F34),ABS(F34-D34),"")</f>
        <v/>
      </c>
      <c r="N34" s="2">
        <f>ABS(K34)</f>
        <v/>
      </c>
      <c r="O34" s="3">
        <f>IF(D34=0,"",(E34-D34)/D34)</f>
        <v/>
      </c>
      <c r="P34" s="3">
        <f>IF(ISNUMBER(F34),IF(D34=0,"",(F34-D34)/D34),"")</f>
        <v/>
      </c>
      <c r="Q34" s="3">
        <f>IF(D34=0,"",(G34-D34)/D34)</f>
        <v/>
      </c>
    </row>
    <row r="35">
      <c r="A35" t="inlineStr">
        <is>
          <t>K/01/225gsm/2300mm</t>
        </is>
      </c>
      <c r="B35" t="inlineStr">
        <is>
          <t>SALC</t>
        </is>
      </c>
      <c r="C35" t="inlineStr">
        <is>
          <t>2026-09</t>
        </is>
      </c>
      <c r="D35" s="2" t="n">
        <v>29.654</v>
      </c>
      <c r="E35" s="2" t="n">
        <v>35</v>
      </c>
      <c r="F35" s="2" t="n">
        <v>33</v>
      </c>
      <c r="G35" s="2" t="n">
        <v>36.25</v>
      </c>
      <c r="H35">
        <f>ISNUMBER(F35)</f>
        <v/>
      </c>
      <c r="I35" s="2">
        <f>E35-D35</f>
        <v/>
      </c>
      <c r="J35" s="2">
        <f>IF(ISNUMBER(F35),F35-D35,"")</f>
        <v/>
      </c>
      <c r="K35" s="2">
        <f>G35-D35</f>
        <v/>
      </c>
      <c r="L35" s="2">
        <f>ABS(I35)</f>
        <v/>
      </c>
      <c r="M35" s="2">
        <f>IF(ISNUMBER(F35),ABS(F35-D35),"")</f>
        <v/>
      </c>
      <c r="N35" s="2">
        <f>ABS(K35)</f>
        <v/>
      </c>
      <c r="O35" s="3">
        <f>IF(D35=0,"",(E35-D35)/D35)</f>
        <v/>
      </c>
      <c r="P35" s="3">
        <f>IF(ISNUMBER(F35),IF(D35=0,"",(F35-D35)/D35),"")</f>
        <v/>
      </c>
      <c r="Q35" s="3">
        <f>IF(D35=0,"",(G35-D35)/D35)</f>
        <v/>
      </c>
    </row>
    <row r="36">
      <c r="A36" t="inlineStr">
        <is>
          <t>K/01/225gsm/2450mm</t>
        </is>
      </c>
      <c r="B36" t="inlineStr">
        <is>
          <t>SALC</t>
        </is>
      </c>
      <c r="C36" t="inlineStr">
        <is>
          <t>2026-09</t>
        </is>
      </c>
      <c r="D36" s="2" t="n">
        <v>20.96</v>
      </c>
      <c r="E36" s="2" t="n">
        <v>35</v>
      </c>
      <c r="F36" s="2" t="n">
        <v>45</v>
      </c>
      <c r="G36" s="2" t="n">
        <v>30.491</v>
      </c>
      <c r="H36">
        <f>ISNUMBER(F36)</f>
        <v/>
      </c>
      <c r="I36" s="2">
        <f>E36-D36</f>
        <v/>
      </c>
      <c r="J36" s="2">
        <f>IF(ISNUMBER(F36),F36-D36,"")</f>
        <v/>
      </c>
      <c r="K36" s="2">
        <f>G36-D36</f>
        <v/>
      </c>
      <c r="L36" s="2">
        <f>ABS(I36)</f>
        <v/>
      </c>
      <c r="M36" s="2">
        <f>IF(ISNUMBER(F36),ABS(F36-D36),"")</f>
        <v/>
      </c>
      <c r="N36" s="2">
        <f>ABS(K36)</f>
        <v/>
      </c>
      <c r="O36" s="3">
        <f>IF(D36=0,"",(E36-D36)/D36)</f>
        <v/>
      </c>
      <c r="P36" s="3">
        <f>IF(ISNUMBER(F36),IF(D36=0,"",(F36-D36)/D36),"")</f>
        <v/>
      </c>
      <c r="Q36" s="3">
        <f>IF(D36=0,"",(G36-D36)/D36)</f>
        <v/>
      </c>
    </row>
    <row r="37">
      <c r="A37" t="inlineStr">
        <is>
          <t>KW2/01/115gsm/2000mm</t>
        </is>
      </c>
      <c r="B37" t="inlineStr">
        <is>
          <t>SALC</t>
        </is>
      </c>
      <c r="C37" t="inlineStr">
        <is>
          <t>2026-09</t>
        </is>
      </c>
      <c r="D37" s="2" t="n">
        <v>54.251</v>
      </c>
      <c r="E37" s="2" t="n">
        <v>72</v>
      </c>
      <c r="F37" s="2" t="n">
        <v>67</v>
      </c>
      <c r="G37" s="2" t="n">
        <v>64.595</v>
      </c>
      <c r="H37">
        <f>ISNUMBER(F37)</f>
        <v/>
      </c>
      <c r="I37" s="2">
        <f>E37-D37</f>
        <v/>
      </c>
      <c r="J37" s="2">
        <f>IF(ISNUMBER(F37),F37-D37,"")</f>
        <v/>
      </c>
      <c r="K37" s="2">
        <f>G37-D37</f>
        <v/>
      </c>
      <c r="L37" s="2">
        <f>ABS(I37)</f>
        <v/>
      </c>
      <c r="M37" s="2">
        <f>IF(ISNUMBER(F37),ABS(F37-D37),"")</f>
        <v/>
      </c>
      <c r="N37" s="2">
        <f>ABS(K37)</f>
        <v/>
      </c>
      <c r="O37" s="3">
        <f>IF(D37=0,"",(E37-D37)/D37)</f>
        <v/>
      </c>
      <c r="P37" s="3">
        <f>IF(ISNUMBER(F37),IF(D37=0,"",(F37-D37)/D37),"")</f>
        <v/>
      </c>
      <c r="Q37" s="3">
        <f>IF(D37=0,"",(G37-D37)/D37)</f>
        <v/>
      </c>
    </row>
    <row r="38">
      <c r="A38" t="inlineStr">
        <is>
          <t>KW2/01/115gsm/2300mm</t>
        </is>
      </c>
      <c r="B38" t="inlineStr">
        <is>
          <t>SALC</t>
        </is>
      </c>
      <c r="C38" t="inlineStr">
        <is>
          <t>2026-09</t>
        </is>
      </c>
      <c r="D38" s="2" t="n">
        <v>80.065</v>
      </c>
      <c r="E38" s="2" t="n">
        <v>120</v>
      </c>
      <c r="F38" s="2" t="n">
        <v>104</v>
      </c>
      <c r="G38" s="2" t="n">
        <v>109.189</v>
      </c>
      <c r="H38">
        <f>ISNUMBER(F38)</f>
        <v/>
      </c>
      <c r="I38" s="2">
        <f>E38-D38</f>
        <v/>
      </c>
      <c r="J38" s="2">
        <f>IF(ISNUMBER(F38),F38-D38,"")</f>
        <v/>
      </c>
      <c r="K38" s="2">
        <f>G38-D38</f>
        <v/>
      </c>
      <c r="L38" s="2">
        <f>ABS(I38)</f>
        <v/>
      </c>
      <c r="M38" s="2">
        <f>IF(ISNUMBER(F38),ABS(F38-D38),"")</f>
        <v/>
      </c>
      <c r="N38" s="2">
        <f>ABS(K38)</f>
        <v/>
      </c>
      <c r="O38" s="3">
        <f>IF(D38=0,"",(E38-D38)/D38)</f>
        <v/>
      </c>
      <c r="P38" s="3">
        <f>IF(ISNUMBER(F38),IF(D38=0,"",(F38-D38)/D38),"")</f>
        <v/>
      </c>
      <c r="Q38" s="3">
        <f>IF(D38=0,"",(G38-D38)/D38)</f>
        <v/>
      </c>
    </row>
    <row r="39">
      <c r="A39" t="inlineStr">
        <is>
          <t>KW2/01/115gsm/2450mm</t>
        </is>
      </c>
      <c r="B39" t="inlineStr">
        <is>
          <t>SALC</t>
        </is>
      </c>
      <c r="C39" t="inlineStr">
        <is>
          <t>2026-09</t>
        </is>
      </c>
      <c r="D39" s="2" t="n">
        <v>206.063</v>
      </c>
      <c r="E39" s="2" t="n">
        <v>215</v>
      </c>
      <c r="F39" s="2" t="n">
        <v>223</v>
      </c>
      <c r="G39" s="2" t="n">
        <v>218.212</v>
      </c>
      <c r="H39">
        <f>ISNUMBER(F39)</f>
        <v/>
      </c>
      <c r="I39" s="2">
        <f>E39-D39</f>
        <v/>
      </c>
      <c r="J39" s="2">
        <f>IF(ISNUMBER(F39),F39-D39,"")</f>
        <v/>
      </c>
      <c r="K39" s="2">
        <f>G39-D39</f>
        <v/>
      </c>
      <c r="L39" s="2">
        <f>ABS(I39)</f>
        <v/>
      </c>
      <c r="M39" s="2">
        <f>IF(ISNUMBER(F39),ABS(F39-D39),"")</f>
        <v/>
      </c>
      <c r="N39" s="2">
        <f>ABS(K39)</f>
        <v/>
      </c>
      <c r="O39" s="3">
        <f>IF(D39=0,"",(E39-D39)/D39)</f>
        <v/>
      </c>
      <c r="P39" s="3">
        <f>IF(ISNUMBER(F39),IF(D39=0,"",(F39-D39)/D39),"")</f>
        <v/>
      </c>
      <c r="Q39" s="3">
        <f>IF(D39=0,"",(G39-D39)/D39)</f>
        <v/>
      </c>
    </row>
    <row r="40">
      <c r="A40" t="inlineStr">
        <is>
          <t>KW2/01/160gsm/2300mm</t>
        </is>
      </c>
      <c r="B40" t="inlineStr">
        <is>
          <t>SALC</t>
        </is>
      </c>
      <c r="C40" t="inlineStr">
        <is>
          <t>2026-09</t>
        </is>
      </c>
      <c r="D40" s="2" t="n">
        <v>123.09</v>
      </c>
      <c r="E40" s="2" t="n">
        <v>128</v>
      </c>
      <c r="F40" s="2" t="n">
        <v>17</v>
      </c>
      <c r="G40" s="2" t="n">
        <v>122.897</v>
      </c>
      <c r="H40">
        <f>ISNUMBER(F40)</f>
        <v/>
      </c>
      <c r="I40" s="2">
        <f>E40-D40</f>
        <v/>
      </c>
      <c r="J40" s="2">
        <f>IF(ISNUMBER(F40),F40-D40,"")</f>
        <v/>
      </c>
      <c r="K40" s="2">
        <f>G40-D40</f>
        <v/>
      </c>
      <c r="L40" s="2">
        <f>ABS(I40)</f>
        <v/>
      </c>
      <c r="M40" s="2">
        <f>IF(ISNUMBER(F40),ABS(F40-D40),"")</f>
        <v/>
      </c>
      <c r="N40" s="2">
        <f>ABS(K40)</f>
        <v/>
      </c>
      <c r="O40" s="3">
        <f>IF(D40=0,"",(E40-D40)/D40)</f>
        <v/>
      </c>
      <c r="P40" s="3">
        <f>IF(ISNUMBER(F40),IF(D40=0,"",(F40-D40)/D40),"")</f>
        <v/>
      </c>
      <c r="Q40" s="3">
        <f>IF(D40=0,"",(G40-D40)/D40)</f>
        <v/>
      </c>
    </row>
    <row r="41">
      <c r="A41" t="inlineStr">
        <is>
          <t>KW2/01/160gsm/2450mm</t>
        </is>
      </c>
      <c r="B41" t="inlineStr">
        <is>
          <t>SALC</t>
        </is>
      </c>
      <c r="C41" t="inlineStr">
        <is>
          <t>2026-09</t>
        </is>
      </c>
      <c r="D41" s="2" t="n">
        <v>153.916</v>
      </c>
      <c r="E41" s="2" t="n">
        <v>100</v>
      </c>
      <c r="F41" s="2" t="n">
        <v>25</v>
      </c>
      <c r="G41" s="2" t="n">
        <v>110.861</v>
      </c>
      <c r="H41">
        <f>ISNUMBER(F41)</f>
        <v/>
      </c>
      <c r="I41" s="2">
        <f>E41-D41</f>
        <v/>
      </c>
      <c r="J41" s="2">
        <f>IF(ISNUMBER(F41),F41-D41,"")</f>
        <v/>
      </c>
      <c r="K41" s="2">
        <f>G41-D41</f>
        <v/>
      </c>
      <c r="L41" s="2">
        <f>ABS(I41)</f>
        <v/>
      </c>
      <c r="M41" s="2">
        <f>IF(ISNUMBER(F41),ABS(F41-D41),"")</f>
        <v/>
      </c>
      <c r="N41" s="2">
        <f>ABS(K41)</f>
        <v/>
      </c>
      <c r="O41" s="3">
        <f>IF(D41=0,"",(E41-D41)/D41)</f>
        <v/>
      </c>
      <c r="P41" s="3">
        <f>IF(ISNUMBER(F41),IF(D41=0,"",(F41-D41)/D41),"")</f>
        <v/>
      </c>
      <c r="Q41" s="3">
        <f>IF(D41=0,"",(G41-D41)/D41)</f>
        <v/>
      </c>
    </row>
    <row r="42">
      <c r="A42" t="inlineStr">
        <is>
          <t>KW2/01/160gsm/2500mm</t>
        </is>
      </c>
      <c r="B42" t="inlineStr">
        <is>
          <t>SALC</t>
        </is>
      </c>
      <c r="C42" t="inlineStr">
        <is>
          <t>2026-09</t>
        </is>
      </c>
      <c r="D42" s="2" t="n">
        <v>166.245</v>
      </c>
      <c r="E42" s="2" t="n">
        <v>150</v>
      </c>
      <c r="F42" s="4" t="inlineStr">
        <is>
          <t>faltante</t>
        </is>
      </c>
      <c r="G42" s="2" t="n">
        <v>119.004</v>
      </c>
      <c r="H42">
        <f>ISNUMBER(F42)</f>
        <v/>
      </c>
      <c r="I42" s="2">
        <f>E42-D42</f>
        <v/>
      </c>
      <c r="J42" s="2">
        <f>IF(ISNUMBER(F42),F42-D42,"")</f>
        <v/>
      </c>
      <c r="K42" s="2">
        <f>G42-D42</f>
        <v/>
      </c>
      <c r="L42" s="2">
        <f>ABS(I42)</f>
        <v/>
      </c>
      <c r="M42" s="2">
        <f>IF(ISNUMBER(F42),ABS(F42-D42),"")</f>
        <v/>
      </c>
      <c r="N42" s="2">
        <f>ABS(K42)</f>
        <v/>
      </c>
      <c r="O42" s="3">
        <f>IF(D42=0,"",(E42-D42)/D42)</f>
        <v/>
      </c>
      <c r="P42" s="3">
        <f>IF(ISNUMBER(F42),IF(D42=0,"",(F42-D42)/D42),"")</f>
        <v/>
      </c>
      <c r="Q42" s="3">
        <f>IF(D42=0,"",(G42-D42)/D42)</f>
        <v/>
      </c>
    </row>
    <row r="43">
      <c r="A43" t="inlineStr">
        <is>
          <t>RF1/01/100gsm/1990mm</t>
        </is>
      </c>
      <c r="B43" t="inlineStr">
        <is>
          <t>SALC</t>
        </is>
      </c>
      <c r="C43" t="inlineStr">
        <is>
          <t>2026-09</t>
        </is>
      </c>
      <c r="D43" s="2" t="n">
        <v>71.70699999999999</v>
      </c>
      <c r="E43" s="2" t="n">
        <v>50</v>
      </c>
      <c r="F43" s="2" t="n">
        <v>33</v>
      </c>
      <c r="G43" s="2" t="n">
        <v>45.857</v>
      </c>
      <c r="H43">
        <f>ISNUMBER(F43)</f>
        <v/>
      </c>
      <c r="I43" s="2">
        <f>E43-D43</f>
        <v/>
      </c>
      <c r="J43" s="2">
        <f>IF(ISNUMBER(F43),F43-D43,"")</f>
        <v/>
      </c>
      <c r="K43" s="2">
        <f>G43-D43</f>
        <v/>
      </c>
      <c r="L43" s="2">
        <f>ABS(I43)</f>
        <v/>
      </c>
      <c r="M43" s="2">
        <f>IF(ISNUMBER(F43),ABS(F43-D43),"")</f>
        <v/>
      </c>
      <c r="N43" s="2">
        <f>ABS(K43)</f>
        <v/>
      </c>
      <c r="O43" s="3">
        <f>IF(D43=0,"",(E43-D43)/D43)</f>
        <v/>
      </c>
      <c r="P43" s="3">
        <f>IF(ISNUMBER(F43),IF(D43=0,"",(F43-D43)/D43),"")</f>
        <v/>
      </c>
      <c r="Q43" s="3">
        <f>IF(D43=0,"",(G43-D43)/D43)</f>
        <v/>
      </c>
    </row>
    <row r="44">
      <c r="A44" t="inlineStr">
        <is>
          <t>RF1/01/100gsm/2290mm</t>
        </is>
      </c>
      <c r="B44" t="inlineStr">
        <is>
          <t>SALC</t>
        </is>
      </c>
      <c r="C44" t="inlineStr">
        <is>
          <t>2026-09</t>
        </is>
      </c>
      <c r="D44" s="2" t="n">
        <v>136.925</v>
      </c>
      <c r="E44" s="2" t="n">
        <v>222</v>
      </c>
      <c r="F44" s="2" t="n">
        <v>203</v>
      </c>
      <c r="G44" s="2" t="n">
        <v>186.555</v>
      </c>
      <c r="H44">
        <f>ISNUMBER(F44)</f>
        <v/>
      </c>
      <c r="I44" s="2">
        <f>E44-D44</f>
        <v/>
      </c>
      <c r="J44" s="2">
        <f>IF(ISNUMBER(F44),F44-D44,"")</f>
        <v/>
      </c>
      <c r="K44" s="2">
        <f>G44-D44</f>
        <v/>
      </c>
      <c r="L44" s="2">
        <f>ABS(I44)</f>
        <v/>
      </c>
      <c r="M44" s="2">
        <f>IF(ISNUMBER(F44),ABS(F44-D44),"")</f>
        <v/>
      </c>
      <c r="N44" s="2">
        <f>ABS(K44)</f>
        <v/>
      </c>
      <c r="O44" s="3">
        <f>IF(D44=0,"",(E44-D44)/D44)</f>
        <v/>
      </c>
      <c r="P44" s="3">
        <f>IF(ISNUMBER(F44),IF(D44=0,"",(F44-D44)/D44),"")</f>
        <v/>
      </c>
      <c r="Q44" s="3">
        <f>IF(D44=0,"",(G44-D44)/D44)</f>
        <v/>
      </c>
    </row>
    <row r="45">
      <c r="A45" t="inlineStr">
        <is>
          <t>RF1/01/100gsm/2350mm</t>
        </is>
      </c>
      <c r="B45" t="inlineStr">
        <is>
          <t>SALC</t>
        </is>
      </c>
      <c r="C45" t="inlineStr">
        <is>
          <t>2026-09</t>
        </is>
      </c>
      <c r="D45" s="2" t="n">
        <v>136.067</v>
      </c>
      <c r="E45" s="2" t="n">
        <v>90</v>
      </c>
      <c r="F45" s="2" t="n">
        <v>130</v>
      </c>
      <c r="G45" s="2" t="n">
        <v>106.636</v>
      </c>
      <c r="H45">
        <f>ISNUMBER(F45)</f>
        <v/>
      </c>
      <c r="I45" s="2">
        <f>E45-D45</f>
        <v/>
      </c>
      <c r="J45" s="2">
        <f>IF(ISNUMBER(F45),F45-D45,"")</f>
        <v/>
      </c>
      <c r="K45" s="2">
        <f>G45-D45</f>
        <v/>
      </c>
      <c r="L45" s="2">
        <f>ABS(I45)</f>
        <v/>
      </c>
      <c r="M45" s="2">
        <f>IF(ISNUMBER(F45),ABS(F45-D45),"")</f>
        <v/>
      </c>
      <c r="N45" s="2">
        <f>ABS(K45)</f>
        <v/>
      </c>
      <c r="O45" s="3">
        <f>IF(D45=0,"",(E45-D45)/D45)</f>
        <v/>
      </c>
      <c r="P45" s="3">
        <f>IF(ISNUMBER(F45),IF(D45=0,"",(F45-D45)/D45),"")</f>
        <v/>
      </c>
      <c r="Q45" s="3">
        <f>IF(D45=0,"",(G45-D45)/D45)</f>
        <v/>
      </c>
    </row>
    <row r="46">
      <c r="A46" t="inlineStr">
        <is>
          <t>RF1/01/100gsm/2440mm</t>
        </is>
      </c>
      <c r="B46" t="inlineStr">
        <is>
          <t>SALC</t>
        </is>
      </c>
      <c r="C46" t="inlineStr">
        <is>
          <t>2026-09</t>
        </is>
      </c>
      <c r="D46" s="2" t="n">
        <v>338.642</v>
      </c>
      <c r="E46" s="2" t="n">
        <v>373</v>
      </c>
      <c r="F46" s="2" t="n">
        <v>320</v>
      </c>
      <c r="G46" s="2" t="n">
        <v>274.613</v>
      </c>
      <c r="H46">
        <f>ISNUMBER(F46)</f>
        <v/>
      </c>
      <c r="I46" s="2">
        <f>E46-D46</f>
        <v/>
      </c>
      <c r="J46" s="2">
        <f>IF(ISNUMBER(F46),F46-D46,"")</f>
        <v/>
      </c>
      <c r="K46" s="2">
        <f>G46-D46</f>
        <v/>
      </c>
      <c r="L46" s="2">
        <f>ABS(I46)</f>
        <v/>
      </c>
      <c r="M46" s="2">
        <f>IF(ISNUMBER(F46),ABS(F46-D46),"")</f>
        <v/>
      </c>
      <c r="N46" s="2">
        <f>ABS(K46)</f>
        <v/>
      </c>
      <c r="O46" s="3">
        <f>IF(D46=0,"",(E46-D46)/D46)</f>
        <v/>
      </c>
      <c r="P46" s="3">
        <f>IF(ISNUMBER(F46),IF(D46=0,"",(F46-D46)/D46),"")</f>
        <v/>
      </c>
      <c r="Q46" s="3">
        <f>IF(D46=0,"",(G46-D46)/D46)</f>
        <v/>
      </c>
    </row>
    <row r="47">
      <c r="A47" t="inlineStr">
        <is>
          <t>RF1/01/80gsm/2440mm</t>
        </is>
      </c>
      <c r="B47" t="inlineStr">
        <is>
          <t>SALC</t>
        </is>
      </c>
      <c r="C47" t="inlineStr">
        <is>
          <t>2026-09</t>
        </is>
      </c>
      <c r="D47" s="2" t="n">
        <v>30.455</v>
      </c>
      <c r="E47" s="2" t="n">
        <v>45</v>
      </c>
      <c r="F47" s="2" t="n">
        <v>43</v>
      </c>
      <c r="G47" s="2" t="n">
        <v>53.28</v>
      </c>
      <c r="H47">
        <f>ISNUMBER(F47)</f>
        <v/>
      </c>
      <c r="I47" s="2">
        <f>E47-D47</f>
        <v/>
      </c>
      <c r="J47" s="2">
        <f>IF(ISNUMBER(F47),F47-D47,"")</f>
        <v/>
      </c>
      <c r="K47" s="2">
        <f>G47-D47</f>
        <v/>
      </c>
      <c r="L47" s="2">
        <f>ABS(I47)</f>
        <v/>
      </c>
      <c r="M47" s="2">
        <f>IF(ISNUMBER(F47),ABS(F47-D47),"")</f>
        <v/>
      </c>
      <c r="N47" s="2">
        <f>ABS(K47)</f>
        <v/>
      </c>
      <c r="O47" s="3">
        <f>IF(D47=0,"",(E47-D47)/D47)</f>
        <v/>
      </c>
      <c r="P47" s="3">
        <f>IF(ISNUMBER(F47),IF(D47=0,"",(F47-D47)/D47),"")</f>
        <v/>
      </c>
      <c r="Q47" s="3">
        <f>IF(D47=0,"",(G47-D47)/D47)</f>
        <v/>
      </c>
    </row>
    <row r="48">
      <c r="A48" t="inlineStr">
        <is>
          <t>TSL/01/100gsm/2300mm</t>
        </is>
      </c>
      <c r="B48" t="inlineStr">
        <is>
          <t>SALC</t>
        </is>
      </c>
      <c r="C48" t="inlineStr">
        <is>
          <t>2026-09</t>
        </is>
      </c>
      <c r="D48" s="2" t="n">
        <v>33.02</v>
      </c>
      <c r="E48" s="2" t="n">
        <v>65</v>
      </c>
      <c r="F48" s="2" t="n">
        <v>66</v>
      </c>
      <c r="G48" s="2" t="n">
        <v>48.214</v>
      </c>
      <c r="H48">
        <f>ISNUMBER(F48)</f>
        <v/>
      </c>
      <c r="I48" s="2">
        <f>E48-D48</f>
        <v/>
      </c>
      <c r="J48" s="2">
        <f>IF(ISNUMBER(F48),F48-D48,"")</f>
        <v/>
      </c>
      <c r="K48" s="2">
        <f>G48-D48</f>
        <v/>
      </c>
      <c r="L48" s="2">
        <f>ABS(I48)</f>
        <v/>
      </c>
      <c r="M48" s="2">
        <f>IF(ISNUMBER(F48),ABS(F48-D48),"")</f>
        <v/>
      </c>
      <c r="N48" s="2">
        <f>ABS(K48)</f>
        <v/>
      </c>
      <c r="O48" s="3">
        <f>IF(D48=0,"",(E48-D48)/D48)</f>
        <v/>
      </c>
      <c r="P48" s="3">
        <f>IF(ISNUMBER(F48),IF(D48=0,"",(F48-D48)/D48),"")</f>
        <v/>
      </c>
      <c r="Q48" s="3">
        <f>IF(D48=0,"",(G48-D48)/D48)</f>
        <v/>
      </c>
    </row>
    <row r="49">
      <c r="A49" t="inlineStr">
        <is>
          <t>TSL/01/100gsm/2450mm</t>
        </is>
      </c>
      <c r="B49" t="inlineStr">
        <is>
          <t>SALC</t>
        </is>
      </c>
      <c r="C49" t="inlineStr">
        <is>
          <t>2026-09</t>
        </is>
      </c>
      <c r="D49" s="2" t="n">
        <v>95.13800000000001</v>
      </c>
      <c r="E49" s="2" t="n">
        <v>130</v>
      </c>
      <c r="F49" s="2" t="n">
        <v>119</v>
      </c>
      <c r="G49" s="2" t="n">
        <v>111.621</v>
      </c>
      <c r="H49">
        <f>ISNUMBER(F49)</f>
        <v/>
      </c>
      <c r="I49" s="2">
        <f>E49-D49</f>
        <v/>
      </c>
      <c r="J49" s="2">
        <f>IF(ISNUMBER(F49),F49-D49,"")</f>
        <v/>
      </c>
      <c r="K49" s="2">
        <f>G49-D49</f>
        <v/>
      </c>
      <c r="L49" s="2">
        <f>ABS(I49)</f>
        <v/>
      </c>
      <c r="M49" s="2">
        <f>IF(ISNUMBER(F49),ABS(F49-D49),"")</f>
        <v/>
      </c>
      <c r="N49" s="2">
        <f>ABS(K49)</f>
        <v/>
      </c>
      <c r="O49" s="3">
        <f>IF(D49=0,"",(E49-D49)/D49)</f>
        <v/>
      </c>
      <c r="P49" s="3">
        <f>IF(ISNUMBER(F49),IF(D49=0,"",(F49-D49)/D49),"")</f>
        <v/>
      </c>
      <c r="Q49" s="3">
        <f>IF(D49=0,"",(G49-D49)/D49)</f>
        <v/>
      </c>
    </row>
    <row r="50">
      <c r="A50" t="inlineStr">
        <is>
          <t>TSL/01/125gsm/2000mm</t>
        </is>
      </c>
      <c r="B50" t="inlineStr">
        <is>
          <t>SALC</t>
        </is>
      </c>
      <c r="C50" t="inlineStr">
        <is>
          <t>2026-09</t>
        </is>
      </c>
      <c r="D50" s="2" t="n">
        <v>39.576</v>
      </c>
      <c r="E50" s="2" t="n">
        <v>32</v>
      </c>
      <c r="F50" s="2" t="n">
        <v>45</v>
      </c>
      <c r="G50" s="2" t="n">
        <v>37.163</v>
      </c>
      <c r="H50">
        <f>ISNUMBER(F50)</f>
        <v/>
      </c>
      <c r="I50" s="2">
        <f>E50-D50</f>
        <v/>
      </c>
      <c r="J50" s="2">
        <f>IF(ISNUMBER(F50),F50-D50,"")</f>
        <v/>
      </c>
      <c r="K50" s="2">
        <f>G50-D50</f>
        <v/>
      </c>
      <c r="L50" s="2">
        <f>ABS(I50)</f>
        <v/>
      </c>
      <c r="M50" s="2">
        <f>IF(ISNUMBER(F50),ABS(F50-D50),"")</f>
        <v/>
      </c>
      <c r="N50" s="2">
        <f>ABS(K50)</f>
        <v/>
      </c>
      <c r="O50" s="3">
        <f>IF(D50=0,"",(E50-D50)/D50)</f>
        <v/>
      </c>
      <c r="P50" s="3">
        <f>IF(ISNUMBER(F50),IF(D50=0,"",(F50-D50)/D50),"")</f>
        <v/>
      </c>
      <c r="Q50" s="3">
        <f>IF(D50=0,"",(G50-D50)/D50)</f>
        <v/>
      </c>
    </row>
    <row r="51">
      <c r="A51" t="inlineStr">
        <is>
          <t>TSL/01/125gsm/2300mm</t>
        </is>
      </c>
      <c r="B51" t="inlineStr">
        <is>
          <t>SALC</t>
        </is>
      </c>
      <c r="C51" t="inlineStr">
        <is>
          <t>2026-09</t>
        </is>
      </c>
      <c r="D51" s="2" t="n">
        <v>137.43</v>
      </c>
      <c r="E51" s="2" t="n">
        <v>174</v>
      </c>
      <c r="F51" s="2" t="n">
        <v>175</v>
      </c>
      <c r="G51" s="2" t="n">
        <v>138.129</v>
      </c>
      <c r="H51">
        <f>ISNUMBER(F51)</f>
        <v/>
      </c>
      <c r="I51" s="2">
        <f>E51-D51</f>
        <v/>
      </c>
      <c r="J51" s="2">
        <f>IF(ISNUMBER(F51),F51-D51,"")</f>
        <v/>
      </c>
      <c r="K51" s="2">
        <f>G51-D51</f>
        <v/>
      </c>
      <c r="L51" s="2">
        <f>ABS(I51)</f>
        <v/>
      </c>
      <c r="M51" s="2">
        <f>IF(ISNUMBER(F51),ABS(F51-D51),"")</f>
        <v/>
      </c>
      <c r="N51" s="2">
        <f>ABS(K51)</f>
        <v/>
      </c>
      <c r="O51" s="3">
        <f>IF(D51=0,"",(E51-D51)/D51)</f>
        <v/>
      </c>
      <c r="P51" s="3">
        <f>IF(ISNUMBER(F51),IF(D51=0,"",(F51-D51)/D51),"")</f>
        <v/>
      </c>
      <c r="Q51" s="3">
        <f>IF(D51=0,"",(G51-D51)/D51)</f>
        <v/>
      </c>
    </row>
    <row r="52">
      <c r="A52" t="inlineStr">
        <is>
          <t>TSL/01/125gsm/2350mm</t>
        </is>
      </c>
      <c r="B52" t="inlineStr">
        <is>
          <t>SALC</t>
        </is>
      </c>
      <c r="C52" t="inlineStr">
        <is>
          <t>2026-09</t>
        </is>
      </c>
      <c r="D52" s="2" t="n">
        <v>148.633</v>
      </c>
      <c r="E52" s="2" t="n">
        <v>125</v>
      </c>
      <c r="F52" s="2" t="n">
        <v>175</v>
      </c>
      <c r="G52" s="2" t="n">
        <v>143.472</v>
      </c>
      <c r="H52">
        <f>ISNUMBER(F52)</f>
        <v/>
      </c>
      <c r="I52" s="2">
        <f>E52-D52</f>
        <v/>
      </c>
      <c r="J52" s="2">
        <f>IF(ISNUMBER(F52),F52-D52,"")</f>
        <v/>
      </c>
      <c r="K52" s="2">
        <f>G52-D52</f>
        <v/>
      </c>
      <c r="L52" s="2">
        <f>ABS(I52)</f>
        <v/>
      </c>
      <c r="M52" s="2">
        <f>IF(ISNUMBER(F52),ABS(F52-D52),"")</f>
        <v/>
      </c>
      <c r="N52" s="2">
        <f>ABS(K52)</f>
        <v/>
      </c>
      <c r="O52" s="3">
        <f>IF(D52=0,"",(E52-D52)/D52)</f>
        <v/>
      </c>
      <c r="P52" s="3">
        <f>IF(ISNUMBER(F52),IF(D52=0,"",(F52-D52)/D52),"")</f>
        <v/>
      </c>
      <c r="Q52" s="3">
        <f>IF(D52=0,"",(G52-D52)/D52)</f>
        <v/>
      </c>
    </row>
    <row r="53">
      <c r="A53" t="inlineStr">
        <is>
          <t>TSL/01/125gsm/2450mm</t>
        </is>
      </c>
      <c r="B53" t="inlineStr">
        <is>
          <t>SALC</t>
        </is>
      </c>
      <c r="C53" t="inlineStr">
        <is>
          <t>2026-09</t>
        </is>
      </c>
      <c r="D53" s="2" t="n">
        <v>268.69</v>
      </c>
      <c r="E53" s="2" t="n">
        <v>290</v>
      </c>
      <c r="F53" s="2" t="n">
        <v>259</v>
      </c>
      <c r="G53" s="2" t="n">
        <v>226.843</v>
      </c>
      <c r="H53">
        <f>ISNUMBER(F53)</f>
        <v/>
      </c>
      <c r="I53" s="2">
        <f>E53-D53</f>
        <v/>
      </c>
      <c r="J53" s="2">
        <f>IF(ISNUMBER(F53),F53-D53,"")</f>
        <v/>
      </c>
      <c r="K53" s="2">
        <f>G53-D53</f>
        <v/>
      </c>
      <c r="L53" s="2">
        <f>ABS(I53)</f>
        <v/>
      </c>
      <c r="M53" s="2">
        <f>IF(ISNUMBER(F53),ABS(F53-D53),"")</f>
        <v/>
      </c>
      <c r="N53" s="2">
        <f>ABS(K53)</f>
        <v/>
      </c>
      <c r="O53" s="3">
        <f>IF(D53=0,"",(E53-D53)/D53)</f>
        <v/>
      </c>
      <c r="P53" s="3">
        <f>IF(ISNUMBER(F53),IF(D53=0,"",(F53-D53)/D53),"")</f>
        <v/>
      </c>
      <c r="Q53" s="3">
        <f>IF(D53=0,"",(G53-D53)/D53)</f>
        <v/>
      </c>
    </row>
    <row r="54">
      <c r="A54" t="inlineStr">
        <is>
          <t>TSL/01/150gsm/2000mm</t>
        </is>
      </c>
      <c r="B54" t="inlineStr">
        <is>
          <t>SALC</t>
        </is>
      </c>
      <c r="C54" t="inlineStr">
        <is>
          <t>2026-09</t>
        </is>
      </c>
      <c r="D54" s="2" t="n">
        <v>60.198</v>
      </c>
      <c r="E54" s="2" t="n">
        <v>33</v>
      </c>
      <c r="F54" s="2" t="n">
        <v>35</v>
      </c>
      <c r="G54" s="2" t="n">
        <v>31.266</v>
      </c>
      <c r="H54">
        <f>ISNUMBER(F54)</f>
        <v/>
      </c>
      <c r="I54" s="2">
        <f>E54-D54</f>
        <v/>
      </c>
      <c r="J54" s="2">
        <f>IF(ISNUMBER(F54),F54-D54,"")</f>
        <v/>
      </c>
      <c r="K54" s="2">
        <f>G54-D54</f>
        <v/>
      </c>
      <c r="L54" s="2">
        <f>ABS(I54)</f>
        <v/>
      </c>
      <c r="M54" s="2">
        <f>IF(ISNUMBER(F54),ABS(F54-D54),"")</f>
        <v/>
      </c>
      <c r="N54" s="2">
        <f>ABS(K54)</f>
        <v/>
      </c>
      <c r="O54" s="3">
        <f>IF(D54=0,"",(E54-D54)/D54)</f>
        <v/>
      </c>
      <c r="P54" s="3">
        <f>IF(ISNUMBER(F54),IF(D54=0,"",(F54-D54)/D54),"")</f>
        <v/>
      </c>
      <c r="Q54" s="3">
        <f>IF(D54=0,"",(G54-D54)/D54)</f>
        <v/>
      </c>
    </row>
    <row r="55">
      <c r="A55" t="inlineStr">
        <is>
          <t>TSL/01/150gsm/2300mm</t>
        </is>
      </c>
      <c r="B55" t="inlineStr">
        <is>
          <t>SALC</t>
        </is>
      </c>
      <c r="C55" t="inlineStr">
        <is>
          <t>2026-09</t>
        </is>
      </c>
      <c r="D55" s="2" t="n">
        <v>127.041</v>
      </c>
      <c r="E55" s="2" t="n">
        <v>145</v>
      </c>
      <c r="F55" s="2" t="n">
        <v>163</v>
      </c>
      <c r="G55" s="2" t="n">
        <v>127.779</v>
      </c>
      <c r="H55">
        <f>ISNUMBER(F55)</f>
        <v/>
      </c>
      <c r="I55" s="2">
        <f>E55-D55</f>
        <v/>
      </c>
      <c r="J55" s="2">
        <f>IF(ISNUMBER(F55),F55-D55,"")</f>
        <v/>
      </c>
      <c r="K55" s="2">
        <f>G55-D55</f>
        <v/>
      </c>
      <c r="L55" s="2">
        <f>ABS(I55)</f>
        <v/>
      </c>
      <c r="M55" s="2">
        <f>IF(ISNUMBER(F55),ABS(F55-D55),"")</f>
        <v/>
      </c>
      <c r="N55" s="2">
        <f>ABS(K55)</f>
        <v/>
      </c>
      <c r="O55" s="3">
        <f>IF(D55=0,"",(E55-D55)/D55)</f>
        <v/>
      </c>
      <c r="P55" s="3">
        <f>IF(ISNUMBER(F55),IF(D55=0,"",(F55-D55)/D55),"")</f>
        <v/>
      </c>
      <c r="Q55" s="3">
        <f>IF(D55=0,"",(G55-D55)/D55)</f>
        <v/>
      </c>
    </row>
    <row r="56">
      <c r="A56" t="inlineStr">
        <is>
          <t>TSL/01/150gsm/2450mm</t>
        </is>
      </c>
      <c r="B56" t="inlineStr">
        <is>
          <t>SALC</t>
        </is>
      </c>
      <c r="C56" t="inlineStr">
        <is>
          <t>2026-09</t>
        </is>
      </c>
      <c r="D56" s="2" t="n">
        <v>203.499</v>
      </c>
      <c r="E56" s="2" t="n">
        <v>210</v>
      </c>
      <c r="F56" s="2" t="n">
        <v>190</v>
      </c>
      <c r="G56" s="2" t="n">
        <v>182.517</v>
      </c>
      <c r="H56">
        <f>ISNUMBER(F56)</f>
        <v/>
      </c>
      <c r="I56" s="2">
        <f>E56-D56</f>
        <v/>
      </c>
      <c r="J56" s="2">
        <f>IF(ISNUMBER(F56),F56-D56,"")</f>
        <v/>
      </c>
      <c r="K56" s="2">
        <f>G56-D56</f>
        <v/>
      </c>
      <c r="L56" s="2">
        <f>ABS(I56)</f>
        <v/>
      </c>
      <c r="M56" s="2">
        <f>IF(ISNUMBER(F56),ABS(F56-D56),"")</f>
        <v/>
      </c>
      <c r="N56" s="2">
        <f>ABS(K56)</f>
        <v/>
      </c>
      <c r="O56" s="3">
        <f>IF(D56=0,"",(E56-D56)/D56)</f>
        <v/>
      </c>
      <c r="P56" s="3">
        <f>IF(ISNUMBER(F56),IF(D56=0,"",(F56-D56)/D56),"")</f>
        <v/>
      </c>
      <c r="Q56" s="3">
        <f>IF(D56=0,"",(G56-D56)/D56)</f>
        <v/>
      </c>
    </row>
    <row r="57">
      <c r="A57" t="inlineStr">
        <is>
          <t>TW2000/51/115gsm/2000mm</t>
        </is>
      </c>
      <c r="B57" t="inlineStr">
        <is>
          <t>SALC</t>
        </is>
      </c>
      <c r="C57" t="inlineStr">
        <is>
          <t>2026-09</t>
        </is>
      </c>
      <c r="D57" s="2" t="n">
        <v>23.258</v>
      </c>
      <c r="E57" s="2" t="n">
        <v>25</v>
      </c>
      <c r="F57" s="4" t="inlineStr">
        <is>
          <t>faltante</t>
        </is>
      </c>
      <c r="G57" s="2" t="n">
        <v>13.338</v>
      </c>
      <c r="H57">
        <f>ISNUMBER(F57)</f>
        <v/>
      </c>
      <c r="I57" s="2">
        <f>E57-D57</f>
        <v/>
      </c>
      <c r="J57" s="2">
        <f>IF(ISNUMBER(F57),F57-D57,"")</f>
        <v/>
      </c>
      <c r="K57" s="2">
        <f>G57-D57</f>
        <v/>
      </c>
      <c r="L57" s="2">
        <f>ABS(I57)</f>
        <v/>
      </c>
      <c r="M57" s="2">
        <f>IF(ISNUMBER(F57),ABS(F57-D57),"")</f>
        <v/>
      </c>
      <c r="N57" s="2">
        <f>ABS(K57)</f>
        <v/>
      </c>
      <c r="O57" s="3">
        <f>IF(D57=0,"",(E57-D57)/D57)</f>
        <v/>
      </c>
      <c r="P57" s="3">
        <f>IF(ISNUMBER(F57),IF(D57=0,"",(F57-D57)/D57),"")</f>
        <v/>
      </c>
      <c r="Q57" s="3">
        <f>IF(D57=0,"",(G57-D57)/D57)</f>
        <v/>
      </c>
    </row>
    <row r="58">
      <c r="A58" t="inlineStr">
        <is>
          <t>HP2/01/115gsm/1790mm</t>
        </is>
      </c>
      <c r="B58" t="inlineStr">
        <is>
          <t>SALI</t>
        </is>
      </c>
      <c r="C58" t="inlineStr">
        <is>
          <t>2026-09</t>
        </is>
      </c>
      <c r="D58" s="2" t="n">
        <v>60.366</v>
      </c>
      <c r="E58" s="2" t="n">
        <v>88</v>
      </c>
      <c r="F58" s="4" t="inlineStr">
        <is>
          <t>faltante</t>
        </is>
      </c>
      <c r="G58" s="2" t="n">
        <v>63.721</v>
      </c>
      <c r="H58">
        <f>ISNUMBER(F58)</f>
        <v/>
      </c>
      <c r="I58" s="2">
        <f>E58-D58</f>
        <v/>
      </c>
      <c r="J58" s="2">
        <f>IF(ISNUMBER(F58),F58-D58,"")</f>
        <v/>
      </c>
      <c r="K58" s="2">
        <f>G58-D58</f>
        <v/>
      </c>
      <c r="L58" s="2">
        <f>ABS(I58)</f>
        <v/>
      </c>
      <c r="M58" s="2">
        <f>IF(ISNUMBER(F58),ABS(F58-D58),"")</f>
        <v/>
      </c>
      <c r="N58" s="2">
        <f>ABS(K58)</f>
        <v/>
      </c>
      <c r="O58" s="3">
        <f>IF(D58=0,"",(E58-D58)/D58)</f>
        <v/>
      </c>
      <c r="P58" s="3">
        <f>IF(ISNUMBER(F58),IF(D58=0,"",(F58-D58)/D58),"")</f>
        <v/>
      </c>
      <c r="Q58" s="3">
        <f>IF(D58=0,"",(G58-D58)/D58)</f>
        <v/>
      </c>
    </row>
    <row r="59">
      <c r="A59" t="inlineStr">
        <is>
          <t>HP2/01/115gsm/1850mm</t>
        </is>
      </c>
      <c r="B59" t="inlineStr">
        <is>
          <t>SALI</t>
        </is>
      </c>
      <c r="C59" t="inlineStr">
        <is>
          <t>2026-09</t>
        </is>
      </c>
      <c r="D59" s="2" t="n">
        <v>68.357</v>
      </c>
      <c r="E59" s="2" t="n">
        <v>110</v>
      </c>
      <c r="F59" s="4" t="inlineStr">
        <is>
          <t>faltante</t>
        </is>
      </c>
      <c r="G59" s="2" t="n">
        <v>135.407</v>
      </c>
      <c r="H59">
        <f>ISNUMBER(F59)</f>
        <v/>
      </c>
      <c r="I59" s="2">
        <f>E59-D59</f>
        <v/>
      </c>
      <c r="J59" s="2">
        <f>IF(ISNUMBER(F59),F59-D59,"")</f>
        <v/>
      </c>
      <c r="K59" s="2">
        <f>G59-D59</f>
        <v/>
      </c>
      <c r="L59" s="2">
        <f>ABS(I59)</f>
        <v/>
      </c>
      <c r="M59" s="2">
        <f>IF(ISNUMBER(F59),ABS(F59-D59),"")</f>
        <v/>
      </c>
      <c r="N59" s="2">
        <f>ABS(K59)</f>
        <v/>
      </c>
      <c r="O59" s="3">
        <f>IF(D59=0,"",(E59-D59)/D59)</f>
        <v/>
      </c>
      <c r="P59" s="3">
        <f>IF(ISNUMBER(F59),IF(D59=0,"",(F59-D59)/D59),"")</f>
        <v/>
      </c>
      <c r="Q59" s="3">
        <f>IF(D59=0,"",(G59-D59)/D59)</f>
        <v/>
      </c>
    </row>
    <row r="60">
      <c r="A60" t="inlineStr">
        <is>
          <t>HP2/01/115gsm/1955mm</t>
        </is>
      </c>
      <c r="B60" t="inlineStr">
        <is>
          <t>SALI</t>
        </is>
      </c>
      <c r="C60" t="inlineStr">
        <is>
          <t>2026-09</t>
        </is>
      </c>
      <c r="D60" s="2" t="n">
        <v>44.039</v>
      </c>
      <c r="E60" s="2" t="n">
        <v>90</v>
      </c>
      <c r="F60" s="4" t="inlineStr">
        <is>
          <t>faltante</t>
        </is>
      </c>
      <c r="G60" s="2" t="n">
        <v>64.92400000000001</v>
      </c>
      <c r="H60">
        <f>ISNUMBER(F60)</f>
        <v/>
      </c>
      <c r="I60" s="2">
        <f>E60-D60</f>
        <v/>
      </c>
      <c r="J60" s="2">
        <f>IF(ISNUMBER(F60),F60-D60,"")</f>
        <v/>
      </c>
      <c r="K60" s="2">
        <f>G60-D60</f>
        <v/>
      </c>
      <c r="L60" s="2">
        <f>ABS(I60)</f>
        <v/>
      </c>
      <c r="M60" s="2">
        <f>IF(ISNUMBER(F60),ABS(F60-D60),"")</f>
        <v/>
      </c>
      <c r="N60" s="2">
        <f>ABS(K60)</f>
        <v/>
      </c>
      <c r="O60" s="3">
        <f>IF(D60=0,"",(E60-D60)/D60)</f>
        <v/>
      </c>
      <c r="P60" s="3">
        <f>IF(ISNUMBER(F60),IF(D60=0,"",(F60-D60)/D60),"")</f>
        <v/>
      </c>
      <c r="Q60" s="3">
        <f>IF(D60=0,"",(G60-D60)/D60)</f>
        <v/>
      </c>
    </row>
    <row r="61">
      <c r="A61" t="inlineStr">
        <is>
          <t>HP2/01/115gsm/2040mm</t>
        </is>
      </c>
      <c r="B61" t="inlineStr">
        <is>
          <t>SALI</t>
        </is>
      </c>
      <c r="C61" t="inlineStr">
        <is>
          <t>2026-09</t>
        </is>
      </c>
      <c r="D61" s="2" t="n">
        <v>49.876</v>
      </c>
      <c r="E61" s="2" t="n">
        <v>56</v>
      </c>
      <c r="F61" s="4" t="inlineStr">
        <is>
          <t>faltante</t>
        </is>
      </c>
      <c r="G61" s="2" t="n">
        <v>91.35599999999999</v>
      </c>
      <c r="H61">
        <f>ISNUMBER(F61)</f>
        <v/>
      </c>
      <c r="I61" s="2">
        <f>E61-D61</f>
        <v/>
      </c>
      <c r="J61" s="2">
        <f>IF(ISNUMBER(F61),F61-D61,"")</f>
        <v/>
      </c>
      <c r="K61" s="2">
        <f>G61-D61</f>
        <v/>
      </c>
      <c r="L61" s="2">
        <f>ABS(I61)</f>
        <v/>
      </c>
      <c r="M61" s="2">
        <f>IF(ISNUMBER(F61),ABS(F61-D61),"")</f>
        <v/>
      </c>
      <c r="N61" s="2">
        <f>ABS(K61)</f>
        <v/>
      </c>
      <c r="O61" s="3">
        <f>IF(D61=0,"",(E61-D61)/D61)</f>
        <v/>
      </c>
      <c r="P61" s="3">
        <f>IF(ISNUMBER(F61),IF(D61=0,"",(F61-D61)/D61),"")</f>
        <v/>
      </c>
      <c r="Q61" s="3">
        <f>IF(D61=0,"",(G61-D61)/D61)</f>
        <v/>
      </c>
    </row>
    <row r="62">
      <c r="A62" t="inlineStr">
        <is>
          <t>HP2/01/115gsm/2150mm</t>
        </is>
      </c>
      <c r="B62" t="inlineStr">
        <is>
          <t>SALI</t>
        </is>
      </c>
      <c r="C62" t="inlineStr">
        <is>
          <t>2026-09</t>
        </is>
      </c>
      <c r="D62" s="2" t="n">
        <v>46.018</v>
      </c>
      <c r="E62" s="2" t="n">
        <v>58</v>
      </c>
      <c r="F62" s="4" t="inlineStr">
        <is>
          <t>faltante</t>
        </is>
      </c>
      <c r="G62" s="2" t="n">
        <v>70.60299999999999</v>
      </c>
      <c r="H62">
        <f>ISNUMBER(F62)</f>
        <v/>
      </c>
      <c r="I62" s="2">
        <f>E62-D62</f>
        <v/>
      </c>
      <c r="J62" s="2">
        <f>IF(ISNUMBER(F62),F62-D62,"")</f>
        <v/>
      </c>
      <c r="K62" s="2">
        <f>G62-D62</f>
        <v/>
      </c>
      <c r="L62" s="2">
        <f>ABS(I62)</f>
        <v/>
      </c>
      <c r="M62" s="2">
        <f>IF(ISNUMBER(F62),ABS(F62-D62),"")</f>
        <v/>
      </c>
      <c r="N62" s="2">
        <f>ABS(K62)</f>
        <v/>
      </c>
      <c r="O62" s="3">
        <f>IF(D62=0,"",(E62-D62)/D62)</f>
        <v/>
      </c>
      <c r="P62" s="3">
        <f>IF(ISNUMBER(F62),IF(D62=0,"",(F62-D62)/D62),"")</f>
        <v/>
      </c>
      <c r="Q62" s="3">
        <f>IF(D62=0,"",(G62-D62)/D62)</f>
        <v/>
      </c>
    </row>
    <row r="63">
      <c r="A63" t="inlineStr">
        <is>
          <t>HP2/01/115gsm/2250mm</t>
        </is>
      </c>
      <c r="B63" t="inlineStr">
        <is>
          <t>SALI</t>
        </is>
      </c>
      <c r="C63" t="inlineStr">
        <is>
          <t>2026-09</t>
        </is>
      </c>
      <c r="D63" s="2" t="n">
        <v>50.273</v>
      </c>
      <c r="E63" s="2" t="n">
        <v>54</v>
      </c>
      <c r="F63" s="4" t="inlineStr">
        <is>
          <t>faltante</t>
        </is>
      </c>
      <c r="G63" s="2" t="n">
        <v>106.118</v>
      </c>
      <c r="H63">
        <f>ISNUMBER(F63)</f>
        <v/>
      </c>
      <c r="I63" s="2">
        <f>E63-D63</f>
        <v/>
      </c>
      <c r="J63" s="2">
        <f>IF(ISNUMBER(F63),F63-D63,"")</f>
        <v/>
      </c>
      <c r="K63" s="2">
        <f>G63-D63</f>
        <v/>
      </c>
      <c r="L63" s="2">
        <f>ABS(I63)</f>
        <v/>
      </c>
      <c r="M63" s="2">
        <f>IF(ISNUMBER(F63),ABS(F63-D63),"")</f>
        <v/>
      </c>
      <c r="N63" s="2">
        <f>ABS(K63)</f>
        <v/>
      </c>
      <c r="O63" s="3">
        <f>IF(D63=0,"",(E63-D63)/D63)</f>
        <v/>
      </c>
      <c r="P63" s="3">
        <f>IF(ISNUMBER(F63),IF(D63=0,"",(F63-D63)/D63),"")</f>
        <v/>
      </c>
      <c r="Q63" s="3">
        <f>IF(D63=0,"",(G63-D63)/D63)</f>
        <v/>
      </c>
    </row>
    <row r="64">
      <c r="A64" t="inlineStr">
        <is>
          <t>HP2/01/115gsm/2370mm</t>
        </is>
      </c>
      <c r="B64" t="inlineStr">
        <is>
          <t>SALI</t>
        </is>
      </c>
      <c r="C64" t="inlineStr">
        <is>
          <t>2026-09</t>
        </is>
      </c>
      <c r="D64" s="2" t="n">
        <v>29.387</v>
      </c>
      <c r="E64" s="2" t="n">
        <v>35</v>
      </c>
      <c r="F64" s="4" t="inlineStr">
        <is>
          <t>faltante</t>
        </is>
      </c>
      <c r="G64" s="2" t="n">
        <v>38.673</v>
      </c>
      <c r="H64">
        <f>ISNUMBER(F64)</f>
        <v/>
      </c>
      <c r="I64" s="2">
        <f>E64-D64</f>
        <v/>
      </c>
      <c r="J64" s="2">
        <f>IF(ISNUMBER(F64),F64-D64,"")</f>
        <v/>
      </c>
      <c r="K64" s="2">
        <f>G64-D64</f>
        <v/>
      </c>
      <c r="L64" s="2">
        <f>ABS(I64)</f>
        <v/>
      </c>
      <c r="M64" s="2">
        <f>IF(ISNUMBER(F64),ABS(F64-D64),"")</f>
        <v/>
      </c>
      <c r="N64" s="2">
        <f>ABS(K64)</f>
        <v/>
      </c>
      <c r="O64" s="3">
        <f>IF(D64=0,"",(E64-D64)/D64)</f>
        <v/>
      </c>
      <c r="P64" s="3">
        <f>IF(ISNUMBER(F64),IF(D64=0,"",(F64-D64)/D64),"")</f>
        <v/>
      </c>
      <c r="Q64" s="3">
        <f>IF(D64=0,"",(G64-D64)/D64)</f>
        <v/>
      </c>
    </row>
    <row r="65">
      <c r="A65" t="inlineStr">
        <is>
          <t>HP2/01/115gsm/2440mm</t>
        </is>
      </c>
      <c r="B65" t="inlineStr">
        <is>
          <t>SALI</t>
        </is>
      </c>
      <c r="C65" t="inlineStr">
        <is>
          <t>2026-09</t>
        </is>
      </c>
      <c r="D65" s="2" t="n">
        <v>38.521</v>
      </c>
      <c r="E65" s="2" t="n">
        <v>79</v>
      </c>
      <c r="F65" s="4" t="inlineStr">
        <is>
          <t>faltante</t>
        </is>
      </c>
      <c r="G65" s="2" t="n">
        <v>81.253</v>
      </c>
      <c r="H65">
        <f>ISNUMBER(F65)</f>
        <v/>
      </c>
      <c r="I65" s="2">
        <f>E65-D65</f>
        <v/>
      </c>
      <c r="J65" s="2">
        <f>IF(ISNUMBER(F65),F65-D65,"")</f>
        <v/>
      </c>
      <c r="K65" s="2">
        <f>G65-D65</f>
        <v/>
      </c>
      <c r="L65" s="2">
        <f>ABS(I65)</f>
        <v/>
      </c>
      <c r="M65" s="2">
        <f>IF(ISNUMBER(F65),ABS(F65-D65),"")</f>
        <v/>
      </c>
      <c r="N65" s="2">
        <f>ABS(K65)</f>
        <v/>
      </c>
      <c r="O65" s="3">
        <f>IF(D65=0,"",(E65-D65)/D65)</f>
        <v/>
      </c>
      <c r="P65" s="3">
        <f>IF(ISNUMBER(F65),IF(D65=0,"",(F65-D65)/D65),"")</f>
        <v/>
      </c>
      <c r="Q65" s="3">
        <f>IF(D65=0,"",(G65-D65)/D65)</f>
        <v/>
      </c>
    </row>
    <row r="66">
      <c r="A66" t="inlineStr">
        <is>
          <t>HP2/01/155gsm/1790mm</t>
        </is>
      </c>
      <c r="B66" t="inlineStr">
        <is>
          <t>SALI</t>
        </is>
      </c>
      <c r="C66" t="inlineStr">
        <is>
          <t>2026-09</t>
        </is>
      </c>
      <c r="D66" s="2" t="n">
        <v>116.206</v>
      </c>
      <c r="E66" s="2" t="n">
        <v>161</v>
      </c>
      <c r="F66" s="2" t="n">
        <v>47</v>
      </c>
      <c r="G66" s="2" t="n">
        <v>132.226</v>
      </c>
      <c r="H66">
        <f>ISNUMBER(F66)</f>
        <v/>
      </c>
      <c r="I66" s="2">
        <f>E66-D66</f>
        <v/>
      </c>
      <c r="J66" s="2">
        <f>IF(ISNUMBER(F66),F66-D66,"")</f>
        <v/>
      </c>
      <c r="K66" s="2">
        <f>G66-D66</f>
        <v/>
      </c>
      <c r="L66" s="2">
        <f>ABS(I66)</f>
        <v/>
      </c>
      <c r="M66" s="2">
        <f>IF(ISNUMBER(F66),ABS(F66-D66),"")</f>
        <v/>
      </c>
      <c r="N66" s="2">
        <f>ABS(K66)</f>
        <v/>
      </c>
      <c r="O66" s="3">
        <f>IF(D66=0,"",(E66-D66)/D66)</f>
        <v/>
      </c>
      <c r="P66" s="3">
        <f>IF(ISNUMBER(F66),IF(D66=0,"",(F66-D66)/D66),"")</f>
        <v/>
      </c>
      <c r="Q66" s="3">
        <f>IF(D66=0,"",(G66-D66)/D66)</f>
        <v/>
      </c>
    </row>
    <row r="67">
      <c r="A67" t="inlineStr">
        <is>
          <t>HP2/01/155gsm/1850mm</t>
        </is>
      </c>
      <c r="B67" t="inlineStr">
        <is>
          <t>SALI</t>
        </is>
      </c>
      <c r="C67" t="inlineStr">
        <is>
          <t>2026-09</t>
        </is>
      </c>
      <c r="D67" s="2" t="n">
        <v>157.01</v>
      </c>
      <c r="E67" s="2" t="n">
        <v>295</v>
      </c>
      <c r="F67" s="2" t="n">
        <v>111</v>
      </c>
      <c r="G67" s="2" t="n">
        <v>259.377</v>
      </c>
      <c r="H67">
        <f>ISNUMBER(F67)</f>
        <v/>
      </c>
      <c r="I67" s="2">
        <f>E67-D67</f>
        <v/>
      </c>
      <c r="J67" s="2">
        <f>IF(ISNUMBER(F67),F67-D67,"")</f>
        <v/>
      </c>
      <c r="K67" s="2">
        <f>G67-D67</f>
        <v/>
      </c>
      <c r="L67" s="2">
        <f>ABS(I67)</f>
        <v/>
      </c>
      <c r="M67" s="2">
        <f>IF(ISNUMBER(F67),ABS(F67-D67),"")</f>
        <v/>
      </c>
      <c r="N67" s="2">
        <f>ABS(K67)</f>
        <v/>
      </c>
      <c r="O67" s="3">
        <f>IF(D67=0,"",(E67-D67)/D67)</f>
        <v/>
      </c>
      <c r="P67" s="3">
        <f>IF(ISNUMBER(F67),IF(D67=0,"",(F67-D67)/D67),"")</f>
        <v/>
      </c>
      <c r="Q67" s="3">
        <f>IF(D67=0,"",(G67-D67)/D67)</f>
        <v/>
      </c>
    </row>
    <row r="68">
      <c r="A68" t="inlineStr">
        <is>
          <t>HP2/01/155gsm/1955mm</t>
        </is>
      </c>
      <c r="B68" t="inlineStr">
        <is>
          <t>SALI</t>
        </is>
      </c>
      <c r="C68" t="inlineStr">
        <is>
          <t>2026-09</t>
        </is>
      </c>
      <c r="D68" s="2" t="n">
        <v>35.321</v>
      </c>
      <c r="E68" s="2" t="n">
        <v>25</v>
      </c>
      <c r="F68" s="2" t="n">
        <v>43</v>
      </c>
      <c r="G68" s="2" t="n">
        <v>70.877</v>
      </c>
      <c r="H68">
        <f>ISNUMBER(F68)</f>
        <v/>
      </c>
      <c r="I68" s="2">
        <f>E68-D68</f>
        <v/>
      </c>
      <c r="J68" s="2">
        <f>IF(ISNUMBER(F68),F68-D68,"")</f>
        <v/>
      </c>
      <c r="K68" s="2">
        <f>G68-D68</f>
        <v/>
      </c>
      <c r="L68" s="2">
        <f>ABS(I68)</f>
        <v/>
      </c>
      <c r="M68" s="2">
        <f>IF(ISNUMBER(F68),ABS(F68-D68),"")</f>
        <v/>
      </c>
      <c r="N68" s="2">
        <f>ABS(K68)</f>
        <v/>
      </c>
      <c r="O68" s="3">
        <f>IF(D68=0,"",(E68-D68)/D68)</f>
        <v/>
      </c>
      <c r="P68" s="3">
        <f>IF(ISNUMBER(F68),IF(D68=0,"",(F68-D68)/D68),"")</f>
        <v/>
      </c>
      <c r="Q68" s="3">
        <f>IF(D68=0,"",(G68-D68)/D68)</f>
        <v/>
      </c>
    </row>
    <row r="69">
      <c r="A69" t="inlineStr">
        <is>
          <t>HP2/01/155gsm/2040mm</t>
        </is>
      </c>
      <c r="B69" t="inlineStr">
        <is>
          <t>SALI</t>
        </is>
      </c>
      <c r="C69" t="inlineStr">
        <is>
          <t>2026-09</t>
        </is>
      </c>
      <c r="D69" s="2" t="n">
        <v>140.834</v>
      </c>
      <c r="E69" s="2" t="n">
        <v>197</v>
      </c>
      <c r="F69" s="2" t="n">
        <v>64</v>
      </c>
      <c r="G69" s="2" t="n">
        <v>236.043</v>
      </c>
      <c r="H69">
        <f>ISNUMBER(F69)</f>
        <v/>
      </c>
      <c r="I69" s="2">
        <f>E69-D69</f>
        <v/>
      </c>
      <c r="J69" s="2">
        <f>IF(ISNUMBER(F69),F69-D69,"")</f>
        <v/>
      </c>
      <c r="K69" s="2">
        <f>G69-D69</f>
        <v/>
      </c>
      <c r="L69" s="2">
        <f>ABS(I69)</f>
        <v/>
      </c>
      <c r="M69" s="2">
        <f>IF(ISNUMBER(F69),ABS(F69-D69),"")</f>
        <v/>
      </c>
      <c r="N69" s="2">
        <f>ABS(K69)</f>
        <v/>
      </c>
      <c r="O69" s="3">
        <f>IF(D69=0,"",(E69-D69)/D69)</f>
        <v/>
      </c>
      <c r="P69" s="3">
        <f>IF(ISNUMBER(F69),IF(D69=0,"",(F69-D69)/D69),"")</f>
        <v/>
      </c>
      <c r="Q69" s="3">
        <f>IF(D69=0,"",(G69-D69)/D69)</f>
        <v/>
      </c>
    </row>
    <row r="70">
      <c r="A70" t="inlineStr">
        <is>
          <t>HP2/01/155gsm/2150mm</t>
        </is>
      </c>
      <c r="B70" t="inlineStr">
        <is>
          <t>SALI</t>
        </is>
      </c>
      <c r="C70" t="inlineStr">
        <is>
          <t>2026-09</t>
        </is>
      </c>
      <c r="D70" s="2" t="n">
        <v>125.992</v>
      </c>
      <c r="E70" s="2" t="n">
        <v>134</v>
      </c>
      <c r="F70" s="2" t="n">
        <v>68</v>
      </c>
      <c r="G70" s="2" t="n">
        <v>152.654</v>
      </c>
      <c r="H70">
        <f>ISNUMBER(F70)</f>
        <v/>
      </c>
      <c r="I70" s="2">
        <f>E70-D70</f>
        <v/>
      </c>
      <c r="J70" s="2">
        <f>IF(ISNUMBER(F70),F70-D70,"")</f>
        <v/>
      </c>
      <c r="K70" s="2">
        <f>G70-D70</f>
        <v/>
      </c>
      <c r="L70" s="2">
        <f>ABS(I70)</f>
        <v/>
      </c>
      <c r="M70" s="2">
        <f>IF(ISNUMBER(F70),ABS(F70-D70),"")</f>
        <v/>
      </c>
      <c r="N70" s="2">
        <f>ABS(K70)</f>
        <v/>
      </c>
      <c r="O70" s="3">
        <f>IF(D70=0,"",(E70-D70)/D70)</f>
        <v/>
      </c>
      <c r="P70" s="3">
        <f>IF(ISNUMBER(F70),IF(D70=0,"",(F70-D70)/D70),"")</f>
        <v/>
      </c>
      <c r="Q70" s="3">
        <f>IF(D70=0,"",(G70-D70)/D70)</f>
        <v/>
      </c>
    </row>
    <row r="71">
      <c r="A71" t="inlineStr">
        <is>
          <t>HP2/01/155gsm/2250mm</t>
        </is>
      </c>
      <c r="B71" t="inlineStr">
        <is>
          <t>SALI</t>
        </is>
      </c>
      <c r="C71" t="inlineStr">
        <is>
          <t>2026-09</t>
        </is>
      </c>
      <c r="D71" s="2" t="n">
        <v>133.582</v>
      </c>
      <c r="E71" s="2" t="n">
        <v>132</v>
      </c>
      <c r="F71" s="2" t="n">
        <v>48</v>
      </c>
      <c r="G71" s="2" t="n">
        <v>215.06</v>
      </c>
      <c r="H71">
        <f>ISNUMBER(F71)</f>
        <v/>
      </c>
      <c r="I71" s="2">
        <f>E71-D71</f>
        <v/>
      </c>
      <c r="J71" s="2">
        <f>IF(ISNUMBER(F71),F71-D71,"")</f>
        <v/>
      </c>
      <c r="K71" s="2">
        <f>G71-D71</f>
        <v/>
      </c>
      <c r="L71" s="2">
        <f>ABS(I71)</f>
        <v/>
      </c>
      <c r="M71" s="2">
        <f>IF(ISNUMBER(F71),ABS(F71-D71),"")</f>
        <v/>
      </c>
      <c r="N71" s="2">
        <f>ABS(K71)</f>
        <v/>
      </c>
      <c r="O71" s="3">
        <f>IF(D71=0,"",(E71-D71)/D71)</f>
        <v/>
      </c>
      <c r="P71" s="3">
        <f>IF(ISNUMBER(F71),IF(D71=0,"",(F71-D71)/D71),"")</f>
        <v/>
      </c>
      <c r="Q71" s="3">
        <f>IF(D71=0,"",(G71-D71)/D71)</f>
        <v/>
      </c>
    </row>
    <row r="72">
      <c r="A72" t="inlineStr">
        <is>
          <t>HP2/01/155gsm/2370mm</t>
        </is>
      </c>
      <c r="B72" t="inlineStr">
        <is>
          <t>SALI</t>
        </is>
      </c>
      <c r="C72" t="inlineStr">
        <is>
          <t>2026-09</t>
        </is>
      </c>
      <c r="D72" s="2" t="n">
        <v>76.86199999999999</v>
      </c>
      <c r="E72" s="2" t="n">
        <v>60</v>
      </c>
      <c r="F72" s="2" t="n">
        <v>21</v>
      </c>
      <c r="G72" s="2" t="n">
        <v>129.901</v>
      </c>
      <c r="H72">
        <f>ISNUMBER(F72)</f>
        <v/>
      </c>
      <c r="I72" s="2">
        <f>E72-D72</f>
        <v/>
      </c>
      <c r="J72" s="2">
        <f>IF(ISNUMBER(F72),F72-D72,"")</f>
        <v/>
      </c>
      <c r="K72" s="2">
        <f>G72-D72</f>
        <v/>
      </c>
      <c r="L72" s="2">
        <f>ABS(I72)</f>
        <v/>
      </c>
      <c r="M72" s="2">
        <f>IF(ISNUMBER(F72),ABS(F72-D72),"")</f>
        <v/>
      </c>
      <c r="N72" s="2">
        <f>ABS(K72)</f>
        <v/>
      </c>
      <c r="O72" s="3">
        <f>IF(D72=0,"",(E72-D72)/D72)</f>
        <v/>
      </c>
      <c r="P72" s="3">
        <f>IF(ISNUMBER(F72),IF(D72=0,"",(F72-D72)/D72),"")</f>
        <v/>
      </c>
      <c r="Q72" s="3">
        <f>IF(D72=0,"",(G72-D72)/D72)</f>
        <v/>
      </c>
    </row>
    <row r="73">
      <c r="A73" t="inlineStr">
        <is>
          <t>HP2/01/155gsm/2440mm</t>
        </is>
      </c>
      <c r="B73" t="inlineStr">
        <is>
          <t>SALI</t>
        </is>
      </c>
      <c r="C73" t="inlineStr">
        <is>
          <t>2026-09</t>
        </is>
      </c>
      <c r="D73" s="2" t="n">
        <v>93.202</v>
      </c>
      <c r="E73" s="2" t="n">
        <v>193</v>
      </c>
      <c r="F73" s="2" t="n">
        <v>58</v>
      </c>
      <c r="G73" s="2" t="n">
        <v>159.304</v>
      </c>
      <c r="H73">
        <f>ISNUMBER(F73)</f>
        <v/>
      </c>
      <c r="I73" s="2">
        <f>E73-D73</f>
        <v/>
      </c>
      <c r="J73" s="2">
        <f>IF(ISNUMBER(F73),F73-D73,"")</f>
        <v/>
      </c>
      <c r="K73" s="2">
        <f>G73-D73</f>
        <v/>
      </c>
      <c r="L73" s="2">
        <f>ABS(I73)</f>
        <v/>
      </c>
      <c r="M73" s="2">
        <f>IF(ISNUMBER(F73),ABS(F73-D73),"")</f>
        <v/>
      </c>
      <c r="N73" s="2">
        <f>ABS(K73)</f>
        <v/>
      </c>
      <c r="O73" s="3">
        <f>IF(D73=0,"",(E73-D73)/D73)</f>
        <v/>
      </c>
      <c r="P73" s="3">
        <f>IF(ISNUMBER(F73),IF(D73=0,"",(F73-D73)/D73),"")</f>
        <v/>
      </c>
      <c r="Q73" s="3">
        <f>IF(D73=0,"",(G73-D73)/D73)</f>
        <v/>
      </c>
    </row>
    <row r="74">
      <c r="A74" t="inlineStr">
        <is>
          <t>K/01/110gsm/1800mm</t>
        </is>
      </c>
      <c r="B74" t="inlineStr">
        <is>
          <t>SALI</t>
        </is>
      </c>
      <c r="C74" t="inlineStr">
        <is>
          <t>2026-09</t>
        </is>
      </c>
      <c r="D74" s="2" t="n">
        <v>6.455</v>
      </c>
      <c r="E74" s="2" t="n">
        <v>23</v>
      </c>
      <c r="F74" s="2" t="n">
        <v>13</v>
      </c>
      <c r="G74" s="2" t="n">
        <v>13.276</v>
      </c>
      <c r="H74">
        <f>ISNUMBER(F74)</f>
        <v/>
      </c>
      <c r="I74" s="2">
        <f>E74-D74</f>
        <v/>
      </c>
      <c r="J74" s="2">
        <f>IF(ISNUMBER(F74),F74-D74,"")</f>
        <v/>
      </c>
      <c r="K74" s="2">
        <f>G74-D74</f>
        <v/>
      </c>
      <c r="L74" s="2">
        <f>ABS(I74)</f>
        <v/>
      </c>
      <c r="M74" s="2">
        <f>IF(ISNUMBER(F74),ABS(F74-D74),"")</f>
        <v/>
      </c>
      <c r="N74" s="2">
        <f>ABS(K74)</f>
        <v/>
      </c>
      <c r="O74" s="3">
        <f>IF(D74=0,"",(E74-D74)/D74)</f>
        <v/>
      </c>
      <c r="P74" s="3">
        <f>IF(ISNUMBER(F74),IF(D74=0,"",(F74-D74)/D74),"")</f>
        <v/>
      </c>
      <c r="Q74" s="3">
        <f>IF(D74=0,"",(G74-D74)/D74)</f>
        <v/>
      </c>
    </row>
    <row r="75">
      <c r="A75" t="inlineStr">
        <is>
          <t>K/01/110gsm/1850mm</t>
        </is>
      </c>
      <c r="B75" t="inlineStr">
        <is>
          <t>SALI</t>
        </is>
      </c>
      <c r="C75" t="inlineStr">
        <is>
          <t>2026-09</t>
        </is>
      </c>
      <c r="D75" s="2" t="n">
        <v>19.465</v>
      </c>
      <c r="E75" s="2" t="n">
        <v>82</v>
      </c>
      <c r="F75" s="2" t="n">
        <v>39</v>
      </c>
      <c r="G75" s="2" t="n">
        <v>26.231</v>
      </c>
      <c r="H75">
        <f>ISNUMBER(F75)</f>
        <v/>
      </c>
      <c r="I75" s="2">
        <f>E75-D75</f>
        <v/>
      </c>
      <c r="J75" s="2">
        <f>IF(ISNUMBER(F75),F75-D75,"")</f>
        <v/>
      </c>
      <c r="K75" s="2">
        <f>G75-D75</f>
        <v/>
      </c>
      <c r="L75" s="2">
        <f>ABS(I75)</f>
        <v/>
      </c>
      <c r="M75" s="2">
        <f>IF(ISNUMBER(F75),ABS(F75-D75),"")</f>
        <v/>
      </c>
      <c r="N75" s="2">
        <f>ABS(K75)</f>
        <v/>
      </c>
      <c r="O75" s="3">
        <f>IF(D75=0,"",(E75-D75)/D75)</f>
        <v/>
      </c>
      <c r="P75" s="3">
        <f>IF(ISNUMBER(F75),IF(D75=0,"",(F75-D75)/D75),"")</f>
        <v/>
      </c>
      <c r="Q75" s="3">
        <f>IF(D75=0,"",(G75-D75)/D75)</f>
        <v/>
      </c>
    </row>
    <row r="76">
      <c r="A76" t="inlineStr">
        <is>
          <t>K/01/110gsm/1955mm</t>
        </is>
      </c>
      <c r="B76" t="inlineStr">
        <is>
          <t>SALI</t>
        </is>
      </c>
      <c r="C76" t="inlineStr">
        <is>
          <t>2026-09</t>
        </is>
      </c>
      <c r="D76" s="2" t="n">
        <v>20.01</v>
      </c>
      <c r="E76" s="2" t="n">
        <v>46</v>
      </c>
      <c r="F76" s="2" t="n">
        <v>63</v>
      </c>
      <c r="G76" s="2" t="n">
        <v>27.834</v>
      </c>
      <c r="H76">
        <f>ISNUMBER(F76)</f>
        <v/>
      </c>
      <c r="I76" s="2">
        <f>E76-D76</f>
        <v/>
      </c>
      <c r="J76" s="2">
        <f>IF(ISNUMBER(F76),F76-D76,"")</f>
        <v/>
      </c>
      <c r="K76" s="2">
        <f>G76-D76</f>
        <v/>
      </c>
      <c r="L76" s="2">
        <f>ABS(I76)</f>
        <v/>
      </c>
      <c r="M76" s="2">
        <f>IF(ISNUMBER(F76),ABS(F76-D76),"")</f>
        <v/>
      </c>
      <c r="N76" s="2">
        <f>ABS(K76)</f>
        <v/>
      </c>
      <c r="O76" s="3">
        <f>IF(D76=0,"",(E76-D76)/D76)</f>
        <v/>
      </c>
      <c r="P76" s="3">
        <f>IF(ISNUMBER(F76),IF(D76=0,"",(F76-D76)/D76),"")</f>
        <v/>
      </c>
      <c r="Q76" s="3">
        <f>IF(D76=0,"",(G76-D76)/D76)</f>
        <v/>
      </c>
    </row>
    <row r="77">
      <c r="A77" t="inlineStr">
        <is>
          <t>K/01/110gsm/2050mm</t>
        </is>
      </c>
      <c r="B77" t="inlineStr">
        <is>
          <t>SALI</t>
        </is>
      </c>
      <c r="C77" t="inlineStr">
        <is>
          <t>2026-09</t>
        </is>
      </c>
      <c r="D77" s="2" t="n">
        <v>0</v>
      </c>
      <c r="E77" s="2" t="n">
        <v>20</v>
      </c>
      <c r="F77" s="2" t="n">
        <v>3</v>
      </c>
      <c r="G77" s="2" t="n">
        <v>2.477</v>
      </c>
      <c r="H77">
        <f>ISNUMBER(F77)</f>
        <v/>
      </c>
      <c r="I77" s="2">
        <f>E77-D77</f>
        <v/>
      </c>
      <c r="J77" s="2">
        <f>IF(ISNUMBER(F77),F77-D77,"")</f>
        <v/>
      </c>
      <c r="K77" s="2">
        <f>G77-D77</f>
        <v/>
      </c>
      <c r="L77" s="2">
        <f>ABS(I77)</f>
        <v/>
      </c>
      <c r="M77" s="2">
        <f>IF(ISNUMBER(F77),ABS(F77-D77),"")</f>
        <v/>
      </c>
      <c r="N77" s="2">
        <f>ABS(K77)</f>
        <v/>
      </c>
      <c r="O77" s="3">
        <f>IF(D77=0,"",(E77-D77)/D77)</f>
        <v/>
      </c>
      <c r="P77" s="3">
        <f>IF(ISNUMBER(F77),IF(D77=0,"",(F77-D77)/D77),"")</f>
        <v/>
      </c>
      <c r="Q77" s="3">
        <f>IF(D77=0,"",(G77-D77)/D77)</f>
        <v/>
      </c>
    </row>
    <row r="78">
      <c r="A78" t="inlineStr">
        <is>
          <t>K/01/110gsm/2150mm</t>
        </is>
      </c>
      <c r="B78" t="inlineStr">
        <is>
          <t>SALI</t>
        </is>
      </c>
      <c r="C78" t="inlineStr">
        <is>
          <t>2026-09</t>
        </is>
      </c>
      <c r="D78" s="2" t="n">
        <v>5.495</v>
      </c>
      <c r="E78" s="2" t="n">
        <v>22</v>
      </c>
      <c r="F78" s="2" t="n">
        <v>9</v>
      </c>
      <c r="G78" s="2" t="n">
        <v>19.563</v>
      </c>
      <c r="H78">
        <f>ISNUMBER(F78)</f>
        <v/>
      </c>
      <c r="I78" s="2">
        <f>E78-D78</f>
        <v/>
      </c>
      <c r="J78" s="2">
        <f>IF(ISNUMBER(F78),F78-D78,"")</f>
        <v/>
      </c>
      <c r="K78" s="2">
        <f>G78-D78</f>
        <v/>
      </c>
      <c r="L78" s="2">
        <f>ABS(I78)</f>
        <v/>
      </c>
      <c r="M78" s="2">
        <f>IF(ISNUMBER(F78),ABS(F78-D78),"")</f>
        <v/>
      </c>
      <c r="N78" s="2">
        <f>ABS(K78)</f>
        <v/>
      </c>
      <c r="O78" s="3">
        <f>IF(D78=0,"",(E78-D78)/D78)</f>
        <v/>
      </c>
      <c r="P78" s="3">
        <f>IF(ISNUMBER(F78),IF(D78=0,"",(F78-D78)/D78),"")</f>
        <v/>
      </c>
      <c r="Q78" s="3">
        <f>IF(D78=0,"",(G78-D78)/D78)</f>
        <v/>
      </c>
    </row>
    <row r="79">
      <c r="A79" t="inlineStr">
        <is>
          <t>K/01/110gsm/2250mm</t>
        </is>
      </c>
      <c r="B79" t="inlineStr">
        <is>
          <t>SALI</t>
        </is>
      </c>
      <c r="C79" t="inlineStr">
        <is>
          <t>2026-09</t>
        </is>
      </c>
      <c r="D79" s="2" t="n">
        <v>5.695</v>
      </c>
      <c r="E79" s="2" t="n">
        <v>38</v>
      </c>
      <c r="F79" s="2" t="n">
        <v>12</v>
      </c>
      <c r="G79" s="2" t="n">
        <v>17.523</v>
      </c>
      <c r="H79">
        <f>ISNUMBER(F79)</f>
        <v/>
      </c>
      <c r="I79" s="2">
        <f>E79-D79</f>
        <v/>
      </c>
      <c r="J79" s="2">
        <f>IF(ISNUMBER(F79),F79-D79,"")</f>
        <v/>
      </c>
      <c r="K79" s="2">
        <f>G79-D79</f>
        <v/>
      </c>
      <c r="L79" s="2">
        <f>ABS(I79)</f>
        <v/>
      </c>
      <c r="M79" s="2">
        <f>IF(ISNUMBER(F79),ABS(F79-D79),"")</f>
        <v/>
      </c>
      <c r="N79" s="2">
        <f>ABS(K79)</f>
        <v/>
      </c>
      <c r="O79" s="3">
        <f>IF(D79=0,"",(E79-D79)/D79)</f>
        <v/>
      </c>
      <c r="P79" s="3">
        <f>IF(ISNUMBER(F79),IF(D79=0,"",(F79-D79)/D79),"")</f>
        <v/>
      </c>
      <c r="Q79" s="3">
        <f>IF(D79=0,"",(G79-D79)/D79)</f>
        <v/>
      </c>
    </row>
    <row r="80">
      <c r="A80" t="inlineStr">
        <is>
          <t>K/01/110gsm/2370mm</t>
        </is>
      </c>
      <c r="B80" t="inlineStr">
        <is>
          <t>SALI</t>
        </is>
      </c>
      <c r="C80" t="inlineStr">
        <is>
          <t>2026-09</t>
        </is>
      </c>
      <c r="D80" s="2" t="n">
        <v>14.95</v>
      </c>
      <c r="E80" s="2" t="n">
        <v>22</v>
      </c>
      <c r="F80" s="2" t="n">
        <v>24</v>
      </c>
      <c r="G80" s="2" t="n">
        <v>16.061</v>
      </c>
      <c r="H80">
        <f>ISNUMBER(F80)</f>
        <v/>
      </c>
      <c r="I80" s="2">
        <f>E80-D80</f>
        <v/>
      </c>
      <c r="J80" s="2">
        <f>IF(ISNUMBER(F80),F80-D80,"")</f>
        <v/>
      </c>
      <c r="K80" s="2">
        <f>G80-D80</f>
        <v/>
      </c>
      <c r="L80" s="2">
        <f>ABS(I80)</f>
        <v/>
      </c>
      <c r="M80" s="2">
        <f>IF(ISNUMBER(F80),ABS(F80-D80),"")</f>
        <v/>
      </c>
      <c r="N80" s="2">
        <f>ABS(K80)</f>
        <v/>
      </c>
      <c r="O80" s="3">
        <f>IF(D80=0,"",(E80-D80)/D80)</f>
        <v/>
      </c>
      <c r="P80" s="3">
        <f>IF(ISNUMBER(F80),IF(D80=0,"",(F80-D80)/D80),"")</f>
        <v/>
      </c>
      <c r="Q80" s="3">
        <f>IF(D80=0,"",(G80-D80)/D80)</f>
        <v/>
      </c>
    </row>
    <row r="81">
      <c r="A81" t="inlineStr">
        <is>
          <t>K/01/110gsm/2450mm</t>
        </is>
      </c>
      <c r="B81" t="inlineStr">
        <is>
          <t>SALI</t>
        </is>
      </c>
      <c r="C81" t="inlineStr">
        <is>
          <t>2026-09</t>
        </is>
      </c>
      <c r="D81" s="2" t="n">
        <v>12.515</v>
      </c>
      <c r="E81" s="2" t="n">
        <v>25</v>
      </c>
      <c r="F81" s="2" t="n">
        <v>38</v>
      </c>
      <c r="G81" s="2" t="n">
        <v>21.823</v>
      </c>
      <c r="H81">
        <f>ISNUMBER(F81)</f>
        <v/>
      </c>
      <c r="I81" s="2">
        <f>E81-D81</f>
        <v/>
      </c>
      <c r="J81" s="2">
        <f>IF(ISNUMBER(F81),F81-D81,"")</f>
        <v/>
      </c>
      <c r="K81" s="2">
        <f>G81-D81</f>
        <v/>
      </c>
      <c r="L81" s="2">
        <f>ABS(I81)</f>
        <v/>
      </c>
      <c r="M81" s="2">
        <f>IF(ISNUMBER(F81),ABS(F81-D81),"")</f>
        <v/>
      </c>
      <c r="N81" s="2">
        <f>ABS(K81)</f>
        <v/>
      </c>
      <c r="O81" s="3">
        <f>IF(D81=0,"",(E81-D81)/D81)</f>
        <v/>
      </c>
      <c r="P81" s="3">
        <f>IF(ISNUMBER(F81),IF(D81=0,"",(F81-D81)/D81),"")</f>
        <v/>
      </c>
      <c r="Q81" s="3">
        <f>IF(D81=0,"",(G81-D81)/D81)</f>
        <v/>
      </c>
    </row>
    <row r="82">
      <c r="A82" t="inlineStr">
        <is>
          <t>K/01/125gsm/1800mm</t>
        </is>
      </c>
      <c r="B82" t="inlineStr">
        <is>
          <t>SALI</t>
        </is>
      </c>
      <c r="C82" t="inlineStr">
        <is>
          <t>2026-09</t>
        </is>
      </c>
      <c r="D82" s="2" t="n">
        <v>29.56</v>
      </c>
      <c r="E82" s="2" t="n">
        <v>52</v>
      </c>
      <c r="F82" s="2" t="n">
        <v>59</v>
      </c>
      <c r="G82" s="2" t="n">
        <v>33.112</v>
      </c>
      <c r="H82">
        <f>ISNUMBER(F82)</f>
        <v/>
      </c>
      <c r="I82" s="2">
        <f>E82-D82</f>
        <v/>
      </c>
      <c r="J82" s="2">
        <f>IF(ISNUMBER(F82),F82-D82,"")</f>
        <v/>
      </c>
      <c r="K82" s="2">
        <f>G82-D82</f>
        <v/>
      </c>
      <c r="L82" s="2">
        <f>ABS(I82)</f>
        <v/>
      </c>
      <c r="M82" s="2">
        <f>IF(ISNUMBER(F82),ABS(F82-D82),"")</f>
        <v/>
      </c>
      <c r="N82" s="2">
        <f>ABS(K82)</f>
        <v/>
      </c>
      <c r="O82" s="3">
        <f>IF(D82=0,"",(E82-D82)/D82)</f>
        <v/>
      </c>
      <c r="P82" s="3">
        <f>IF(ISNUMBER(F82),IF(D82=0,"",(F82-D82)/D82),"")</f>
        <v/>
      </c>
      <c r="Q82" s="3">
        <f>IF(D82=0,"",(G82-D82)/D82)</f>
        <v/>
      </c>
    </row>
    <row r="83">
      <c r="A83" t="inlineStr">
        <is>
          <t>K/01/125gsm/1850mm</t>
        </is>
      </c>
      <c r="B83" t="inlineStr">
        <is>
          <t>SALI</t>
        </is>
      </c>
      <c r="C83" t="inlineStr">
        <is>
          <t>2026-09</t>
        </is>
      </c>
      <c r="D83" s="2" t="n">
        <v>26.315</v>
      </c>
      <c r="E83" s="2" t="n">
        <v>58</v>
      </c>
      <c r="F83" s="2" t="n">
        <v>78</v>
      </c>
      <c r="G83" s="2" t="n">
        <v>47.515</v>
      </c>
      <c r="H83">
        <f>ISNUMBER(F83)</f>
        <v/>
      </c>
      <c r="I83" s="2">
        <f>E83-D83</f>
        <v/>
      </c>
      <c r="J83" s="2">
        <f>IF(ISNUMBER(F83),F83-D83,"")</f>
        <v/>
      </c>
      <c r="K83" s="2">
        <f>G83-D83</f>
        <v/>
      </c>
      <c r="L83" s="2">
        <f>ABS(I83)</f>
        <v/>
      </c>
      <c r="M83" s="2">
        <f>IF(ISNUMBER(F83),ABS(F83-D83),"")</f>
        <v/>
      </c>
      <c r="N83" s="2">
        <f>ABS(K83)</f>
        <v/>
      </c>
      <c r="O83" s="3">
        <f>IF(D83=0,"",(E83-D83)/D83)</f>
        <v/>
      </c>
      <c r="P83" s="3">
        <f>IF(ISNUMBER(F83),IF(D83=0,"",(F83-D83)/D83),"")</f>
        <v/>
      </c>
      <c r="Q83" s="3">
        <f>IF(D83=0,"",(G83-D83)/D83)</f>
        <v/>
      </c>
    </row>
    <row r="84">
      <c r="A84" t="inlineStr">
        <is>
          <t>K/01/125gsm/1955mm</t>
        </is>
      </c>
      <c r="B84" t="inlineStr">
        <is>
          <t>SALI</t>
        </is>
      </c>
      <c r="C84" t="inlineStr">
        <is>
          <t>2026-09</t>
        </is>
      </c>
      <c r="D84" s="2" t="n">
        <v>19.26</v>
      </c>
      <c r="E84" s="2" t="n">
        <v>16</v>
      </c>
      <c r="F84" s="2" t="n">
        <v>24</v>
      </c>
      <c r="G84" s="2" t="n">
        <v>37.916</v>
      </c>
      <c r="H84">
        <f>ISNUMBER(F84)</f>
        <v/>
      </c>
      <c r="I84" s="2">
        <f>E84-D84</f>
        <v/>
      </c>
      <c r="J84" s="2">
        <f>IF(ISNUMBER(F84),F84-D84,"")</f>
        <v/>
      </c>
      <c r="K84" s="2">
        <f>G84-D84</f>
        <v/>
      </c>
      <c r="L84" s="2">
        <f>ABS(I84)</f>
        <v/>
      </c>
      <c r="M84" s="2">
        <f>IF(ISNUMBER(F84),ABS(F84-D84),"")</f>
        <v/>
      </c>
      <c r="N84" s="2">
        <f>ABS(K84)</f>
        <v/>
      </c>
      <c r="O84" s="3">
        <f>IF(D84=0,"",(E84-D84)/D84)</f>
        <v/>
      </c>
      <c r="P84" s="3">
        <f>IF(ISNUMBER(F84),IF(D84=0,"",(F84-D84)/D84),"")</f>
        <v/>
      </c>
      <c r="Q84" s="3">
        <f>IF(D84=0,"",(G84-D84)/D84)</f>
        <v/>
      </c>
    </row>
    <row r="85">
      <c r="A85" t="inlineStr">
        <is>
          <t>K/01/125gsm/2050mm</t>
        </is>
      </c>
      <c r="B85" t="inlineStr">
        <is>
          <t>SALI</t>
        </is>
      </c>
      <c r="C85" t="inlineStr">
        <is>
          <t>2026-09</t>
        </is>
      </c>
      <c r="D85" s="2" t="n">
        <v>44.45</v>
      </c>
      <c r="E85" s="2" t="n">
        <v>80</v>
      </c>
      <c r="F85" s="2" t="n">
        <v>85</v>
      </c>
      <c r="G85" s="2" t="n">
        <v>75.81399999999999</v>
      </c>
      <c r="H85">
        <f>ISNUMBER(F85)</f>
        <v/>
      </c>
      <c r="I85" s="2">
        <f>E85-D85</f>
        <v/>
      </c>
      <c r="J85" s="2">
        <f>IF(ISNUMBER(F85),F85-D85,"")</f>
        <v/>
      </c>
      <c r="K85" s="2">
        <f>G85-D85</f>
        <v/>
      </c>
      <c r="L85" s="2">
        <f>ABS(I85)</f>
        <v/>
      </c>
      <c r="M85" s="2">
        <f>IF(ISNUMBER(F85),ABS(F85-D85),"")</f>
        <v/>
      </c>
      <c r="N85" s="2">
        <f>ABS(K85)</f>
        <v/>
      </c>
      <c r="O85" s="3">
        <f>IF(D85=0,"",(E85-D85)/D85)</f>
        <v/>
      </c>
      <c r="P85" s="3">
        <f>IF(ISNUMBER(F85),IF(D85=0,"",(F85-D85)/D85),"")</f>
        <v/>
      </c>
      <c r="Q85" s="3">
        <f>IF(D85=0,"",(G85-D85)/D85)</f>
        <v/>
      </c>
    </row>
    <row r="86">
      <c r="A86" t="inlineStr">
        <is>
          <t>K/01/125gsm/2150mm</t>
        </is>
      </c>
      <c r="B86" t="inlineStr">
        <is>
          <t>SALI</t>
        </is>
      </c>
      <c r="C86" t="inlineStr">
        <is>
          <t>2026-09</t>
        </is>
      </c>
      <c r="D86" s="2" t="n">
        <v>19.885</v>
      </c>
      <c r="E86" s="2" t="n">
        <v>37</v>
      </c>
      <c r="F86" s="2" t="n">
        <v>52</v>
      </c>
      <c r="G86" s="2" t="n">
        <v>50.848</v>
      </c>
      <c r="H86">
        <f>ISNUMBER(F86)</f>
        <v/>
      </c>
      <c r="I86" s="2">
        <f>E86-D86</f>
        <v/>
      </c>
      <c r="J86" s="2">
        <f>IF(ISNUMBER(F86),F86-D86,"")</f>
        <v/>
      </c>
      <c r="K86" s="2">
        <f>G86-D86</f>
        <v/>
      </c>
      <c r="L86" s="2">
        <f>ABS(I86)</f>
        <v/>
      </c>
      <c r="M86" s="2">
        <f>IF(ISNUMBER(F86),ABS(F86-D86),"")</f>
        <v/>
      </c>
      <c r="N86" s="2">
        <f>ABS(K86)</f>
        <v/>
      </c>
      <c r="O86" s="3">
        <f>IF(D86=0,"",(E86-D86)/D86)</f>
        <v/>
      </c>
      <c r="P86" s="3">
        <f>IF(ISNUMBER(F86),IF(D86=0,"",(F86-D86)/D86),"")</f>
        <v/>
      </c>
      <c r="Q86" s="3">
        <f>IF(D86=0,"",(G86-D86)/D86)</f>
        <v/>
      </c>
    </row>
    <row r="87">
      <c r="A87" t="inlineStr">
        <is>
          <t>K/01/125gsm/2250mm</t>
        </is>
      </c>
      <c r="B87" t="inlineStr">
        <is>
          <t>SALI</t>
        </is>
      </c>
      <c r="C87" t="inlineStr">
        <is>
          <t>2026-09</t>
        </is>
      </c>
      <c r="D87" s="2" t="n">
        <v>43.495</v>
      </c>
      <c r="E87" s="2" t="n">
        <v>29</v>
      </c>
      <c r="F87" s="2" t="n">
        <v>39</v>
      </c>
      <c r="G87" s="2" t="n">
        <v>56.978</v>
      </c>
      <c r="H87">
        <f>ISNUMBER(F87)</f>
        <v/>
      </c>
      <c r="I87" s="2">
        <f>E87-D87</f>
        <v/>
      </c>
      <c r="J87" s="2">
        <f>IF(ISNUMBER(F87),F87-D87,"")</f>
        <v/>
      </c>
      <c r="K87" s="2">
        <f>G87-D87</f>
        <v/>
      </c>
      <c r="L87" s="2">
        <f>ABS(I87)</f>
        <v/>
      </c>
      <c r="M87" s="2">
        <f>IF(ISNUMBER(F87),ABS(F87-D87),"")</f>
        <v/>
      </c>
      <c r="N87" s="2">
        <f>ABS(K87)</f>
        <v/>
      </c>
      <c r="O87" s="3">
        <f>IF(D87=0,"",(E87-D87)/D87)</f>
        <v/>
      </c>
      <c r="P87" s="3">
        <f>IF(ISNUMBER(F87),IF(D87=0,"",(F87-D87)/D87),"")</f>
        <v/>
      </c>
      <c r="Q87" s="3">
        <f>IF(D87=0,"",(G87-D87)/D87)</f>
        <v/>
      </c>
    </row>
    <row r="88">
      <c r="A88" t="inlineStr">
        <is>
          <t>K/01/125gsm/2370mm</t>
        </is>
      </c>
      <c r="B88" t="inlineStr">
        <is>
          <t>SALI</t>
        </is>
      </c>
      <c r="C88" t="inlineStr">
        <is>
          <t>2026-09</t>
        </is>
      </c>
      <c r="D88" s="2" t="n">
        <v>27.04</v>
      </c>
      <c r="E88" s="2" t="n">
        <v>20</v>
      </c>
      <c r="F88" s="2" t="n">
        <v>23</v>
      </c>
      <c r="G88" s="2" t="n">
        <v>55.77</v>
      </c>
      <c r="H88">
        <f>ISNUMBER(F88)</f>
        <v/>
      </c>
      <c r="I88" s="2">
        <f>E88-D88</f>
        <v/>
      </c>
      <c r="J88" s="2">
        <f>IF(ISNUMBER(F88),F88-D88,"")</f>
        <v/>
      </c>
      <c r="K88" s="2">
        <f>G88-D88</f>
        <v/>
      </c>
      <c r="L88" s="2">
        <f>ABS(I88)</f>
        <v/>
      </c>
      <c r="M88" s="2">
        <f>IF(ISNUMBER(F88),ABS(F88-D88),"")</f>
        <v/>
      </c>
      <c r="N88" s="2">
        <f>ABS(K88)</f>
        <v/>
      </c>
      <c r="O88" s="3">
        <f>IF(D88=0,"",(E88-D88)/D88)</f>
        <v/>
      </c>
      <c r="P88" s="3">
        <f>IF(ISNUMBER(F88),IF(D88=0,"",(F88-D88)/D88),"")</f>
        <v/>
      </c>
      <c r="Q88" s="3">
        <f>IF(D88=0,"",(G88-D88)/D88)</f>
        <v/>
      </c>
    </row>
    <row r="89">
      <c r="A89" t="inlineStr">
        <is>
          <t>K/01/125gsm/2450mm</t>
        </is>
      </c>
      <c r="B89" t="inlineStr">
        <is>
          <t>SALI</t>
        </is>
      </c>
      <c r="C89" t="inlineStr">
        <is>
          <t>2026-09</t>
        </is>
      </c>
      <c r="D89" s="2" t="n">
        <v>37.975</v>
      </c>
      <c r="E89" s="2" t="n">
        <v>56</v>
      </c>
      <c r="F89" s="2" t="n">
        <v>69</v>
      </c>
      <c r="G89" s="2" t="n">
        <v>45.401</v>
      </c>
      <c r="H89">
        <f>ISNUMBER(F89)</f>
        <v/>
      </c>
      <c r="I89" s="2">
        <f>E89-D89</f>
        <v/>
      </c>
      <c r="J89" s="2">
        <f>IF(ISNUMBER(F89),F89-D89,"")</f>
        <v/>
      </c>
      <c r="K89" s="2">
        <f>G89-D89</f>
        <v/>
      </c>
      <c r="L89" s="2">
        <f>ABS(I89)</f>
        <v/>
      </c>
      <c r="M89" s="2">
        <f>IF(ISNUMBER(F89),ABS(F89-D89),"")</f>
        <v/>
      </c>
      <c r="N89" s="2">
        <f>ABS(K89)</f>
        <v/>
      </c>
      <c r="O89" s="3">
        <f>IF(D89=0,"",(E89-D89)/D89)</f>
        <v/>
      </c>
      <c r="P89" s="3">
        <f>IF(ISNUMBER(F89),IF(D89=0,"",(F89-D89)/D89),"")</f>
        <v/>
      </c>
      <c r="Q89" s="3">
        <f>IF(D89=0,"",(G89-D89)/D89)</f>
        <v/>
      </c>
    </row>
    <row r="90">
      <c r="A90" t="inlineStr">
        <is>
          <t>K/01/160gsm/1800mm</t>
        </is>
      </c>
      <c r="B90" t="inlineStr">
        <is>
          <t>SALI</t>
        </is>
      </c>
      <c r="C90" t="inlineStr">
        <is>
          <t>2026-09</t>
        </is>
      </c>
      <c r="D90" s="2" t="n">
        <v>37.293</v>
      </c>
      <c r="E90" s="2" t="n">
        <v>95</v>
      </c>
      <c r="F90" s="2" t="n">
        <v>80</v>
      </c>
      <c r="G90" s="2" t="n">
        <v>61.899</v>
      </c>
      <c r="H90">
        <f>ISNUMBER(F90)</f>
        <v/>
      </c>
      <c r="I90" s="2">
        <f>E90-D90</f>
        <v/>
      </c>
      <c r="J90" s="2">
        <f>IF(ISNUMBER(F90),F90-D90,"")</f>
        <v/>
      </c>
      <c r="K90" s="2">
        <f>G90-D90</f>
        <v/>
      </c>
      <c r="L90" s="2">
        <f>ABS(I90)</f>
        <v/>
      </c>
      <c r="M90" s="2">
        <f>IF(ISNUMBER(F90),ABS(F90-D90),"")</f>
        <v/>
      </c>
      <c r="N90" s="2">
        <f>ABS(K90)</f>
        <v/>
      </c>
      <c r="O90" s="3">
        <f>IF(D90=0,"",(E90-D90)/D90)</f>
        <v/>
      </c>
      <c r="P90" s="3">
        <f>IF(ISNUMBER(F90),IF(D90=0,"",(F90-D90)/D90),"")</f>
        <v/>
      </c>
      <c r="Q90" s="3">
        <f>IF(D90=0,"",(G90-D90)/D90)</f>
        <v/>
      </c>
    </row>
    <row r="91">
      <c r="A91" t="inlineStr">
        <is>
          <t>K/01/160gsm/1850mm</t>
        </is>
      </c>
      <c r="B91" t="inlineStr">
        <is>
          <t>SALI</t>
        </is>
      </c>
      <c r="C91" t="inlineStr">
        <is>
          <t>2026-09</t>
        </is>
      </c>
      <c r="D91" s="2" t="n">
        <v>41.459</v>
      </c>
      <c r="E91" s="2" t="n">
        <v>94</v>
      </c>
      <c r="F91" s="2" t="n">
        <v>84</v>
      </c>
      <c r="G91" s="2" t="n">
        <v>89.508</v>
      </c>
      <c r="H91">
        <f>ISNUMBER(F91)</f>
        <v/>
      </c>
      <c r="I91" s="2">
        <f>E91-D91</f>
        <v/>
      </c>
      <c r="J91" s="2">
        <f>IF(ISNUMBER(F91),F91-D91,"")</f>
        <v/>
      </c>
      <c r="K91" s="2">
        <f>G91-D91</f>
        <v/>
      </c>
      <c r="L91" s="2">
        <f>ABS(I91)</f>
        <v/>
      </c>
      <c r="M91" s="2">
        <f>IF(ISNUMBER(F91),ABS(F91-D91),"")</f>
        <v/>
      </c>
      <c r="N91" s="2">
        <f>ABS(K91)</f>
        <v/>
      </c>
      <c r="O91" s="3">
        <f>IF(D91=0,"",(E91-D91)/D91)</f>
        <v/>
      </c>
      <c r="P91" s="3">
        <f>IF(ISNUMBER(F91),IF(D91=0,"",(F91-D91)/D91),"")</f>
        <v/>
      </c>
      <c r="Q91" s="3">
        <f>IF(D91=0,"",(G91-D91)/D91)</f>
        <v/>
      </c>
    </row>
    <row r="92">
      <c r="A92" t="inlineStr">
        <is>
          <t>K/01/160gsm/1955mm</t>
        </is>
      </c>
      <c r="B92" t="inlineStr">
        <is>
          <t>SALI</t>
        </is>
      </c>
      <c r="C92" t="inlineStr">
        <is>
          <t>2026-09</t>
        </is>
      </c>
      <c r="D92" s="2" t="n">
        <v>26.975</v>
      </c>
      <c r="E92" s="2" t="n">
        <v>24</v>
      </c>
      <c r="F92" s="2" t="n">
        <v>11</v>
      </c>
      <c r="G92" s="2" t="n">
        <v>51.141</v>
      </c>
      <c r="H92">
        <f>ISNUMBER(F92)</f>
        <v/>
      </c>
      <c r="I92" s="2">
        <f>E92-D92</f>
        <v/>
      </c>
      <c r="J92" s="2">
        <f>IF(ISNUMBER(F92),F92-D92,"")</f>
        <v/>
      </c>
      <c r="K92" s="2">
        <f>G92-D92</f>
        <v/>
      </c>
      <c r="L92" s="2">
        <f>ABS(I92)</f>
        <v/>
      </c>
      <c r="M92" s="2">
        <f>IF(ISNUMBER(F92),ABS(F92-D92),"")</f>
        <v/>
      </c>
      <c r="N92" s="2">
        <f>ABS(K92)</f>
        <v/>
      </c>
      <c r="O92" s="3">
        <f>IF(D92=0,"",(E92-D92)/D92)</f>
        <v/>
      </c>
      <c r="P92" s="3">
        <f>IF(ISNUMBER(F92),IF(D92=0,"",(F92-D92)/D92),"")</f>
        <v/>
      </c>
      <c r="Q92" s="3">
        <f>IF(D92=0,"",(G92-D92)/D92)</f>
        <v/>
      </c>
    </row>
    <row r="93">
      <c r="A93" t="inlineStr">
        <is>
          <t>K/01/160gsm/2050mm</t>
        </is>
      </c>
      <c r="B93" t="inlineStr">
        <is>
          <t>SALI</t>
        </is>
      </c>
      <c r="C93" t="inlineStr">
        <is>
          <t>2026-09</t>
        </is>
      </c>
      <c r="D93" s="2" t="n">
        <v>50.368</v>
      </c>
      <c r="E93" s="2" t="n">
        <v>66</v>
      </c>
      <c r="F93" s="2" t="n">
        <v>62</v>
      </c>
      <c r="G93" s="2" t="n">
        <v>92.456</v>
      </c>
      <c r="H93">
        <f>ISNUMBER(F93)</f>
        <v/>
      </c>
      <c r="I93" s="2">
        <f>E93-D93</f>
        <v/>
      </c>
      <c r="J93" s="2">
        <f>IF(ISNUMBER(F93),F93-D93,"")</f>
        <v/>
      </c>
      <c r="K93" s="2">
        <f>G93-D93</f>
        <v/>
      </c>
      <c r="L93" s="2">
        <f>ABS(I93)</f>
        <v/>
      </c>
      <c r="M93" s="2">
        <f>IF(ISNUMBER(F93),ABS(F93-D93),"")</f>
        <v/>
      </c>
      <c r="N93" s="2">
        <f>ABS(K93)</f>
        <v/>
      </c>
      <c r="O93" s="3">
        <f>IF(D93=0,"",(E93-D93)/D93)</f>
        <v/>
      </c>
      <c r="P93" s="3">
        <f>IF(ISNUMBER(F93),IF(D93=0,"",(F93-D93)/D93),"")</f>
        <v/>
      </c>
      <c r="Q93" s="3">
        <f>IF(D93=0,"",(G93-D93)/D93)</f>
        <v/>
      </c>
    </row>
    <row r="94">
      <c r="A94" t="inlineStr">
        <is>
          <t>K/01/160gsm/2150mm</t>
        </is>
      </c>
      <c r="B94" t="inlineStr">
        <is>
          <t>SALI</t>
        </is>
      </c>
      <c r="C94" t="inlineStr">
        <is>
          <t>2026-09</t>
        </is>
      </c>
      <c r="D94" s="2" t="n">
        <v>47.194</v>
      </c>
      <c r="E94" s="2" t="n">
        <v>89</v>
      </c>
      <c r="F94" s="2" t="n">
        <v>81</v>
      </c>
      <c r="G94" s="2" t="n">
        <v>53.258</v>
      </c>
      <c r="H94">
        <f>ISNUMBER(F94)</f>
        <v/>
      </c>
      <c r="I94" s="2">
        <f>E94-D94</f>
        <v/>
      </c>
      <c r="J94" s="2">
        <f>IF(ISNUMBER(F94),F94-D94,"")</f>
        <v/>
      </c>
      <c r="K94" s="2">
        <f>G94-D94</f>
        <v/>
      </c>
      <c r="L94" s="2">
        <f>ABS(I94)</f>
        <v/>
      </c>
      <c r="M94" s="2">
        <f>IF(ISNUMBER(F94),ABS(F94-D94),"")</f>
        <v/>
      </c>
      <c r="N94" s="2">
        <f>ABS(K94)</f>
        <v/>
      </c>
      <c r="O94" s="3">
        <f>IF(D94=0,"",(E94-D94)/D94)</f>
        <v/>
      </c>
      <c r="P94" s="3">
        <f>IF(ISNUMBER(F94),IF(D94=0,"",(F94-D94)/D94),"")</f>
        <v/>
      </c>
      <c r="Q94" s="3">
        <f>IF(D94=0,"",(G94-D94)/D94)</f>
        <v/>
      </c>
    </row>
    <row r="95">
      <c r="A95" t="inlineStr">
        <is>
          <t>K/01/160gsm/2250mm</t>
        </is>
      </c>
      <c r="B95" t="inlineStr">
        <is>
          <t>SALI</t>
        </is>
      </c>
      <c r="C95" t="inlineStr">
        <is>
          <t>2026-09</t>
        </is>
      </c>
      <c r="D95" s="2" t="n">
        <v>18.19</v>
      </c>
      <c r="E95" s="2" t="n">
        <v>35</v>
      </c>
      <c r="F95" s="2" t="n">
        <v>33</v>
      </c>
      <c r="G95" s="2" t="n">
        <v>71.22</v>
      </c>
      <c r="H95">
        <f>ISNUMBER(F95)</f>
        <v/>
      </c>
      <c r="I95" s="2">
        <f>E95-D95</f>
        <v/>
      </c>
      <c r="J95" s="2">
        <f>IF(ISNUMBER(F95),F95-D95,"")</f>
        <v/>
      </c>
      <c r="K95" s="2">
        <f>G95-D95</f>
        <v/>
      </c>
      <c r="L95" s="2">
        <f>ABS(I95)</f>
        <v/>
      </c>
      <c r="M95" s="2">
        <f>IF(ISNUMBER(F95),ABS(F95-D95),"")</f>
        <v/>
      </c>
      <c r="N95" s="2">
        <f>ABS(K95)</f>
        <v/>
      </c>
      <c r="O95" s="3">
        <f>IF(D95=0,"",(E95-D95)/D95)</f>
        <v/>
      </c>
      <c r="P95" s="3">
        <f>IF(ISNUMBER(F95),IF(D95=0,"",(F95-D95)/D95),"")</f>
        <v/>
      </c>
      <c r="Q95" s="3">
        <f>IF(D95=0,"",(G95-D95)/D95)</f>
        <v/>
      </c>
    </row>
    <row r="96">
      <c r="A96" t="inlineStr">
        <is>
          <t>K/01/160gsm/2370mm</t>
        </is>
      </c>
      <c r="B96" t="inlineStr">
        <is>
          <t>SALI</t>
        </is>
      </c>
      <c r="C96" t="inlineStr">
        <is>
          <t>2026-09</t>
        </is>
      </c>
      <c r="D96" s="2" t="n">
        <v>20.886</v>
      </c>
      <c r="E96" s="2" t="n">
        <v>21</v>
      </c>
      <c r="F96" s="2" t="n">
        <v>20</v>
      </c>
      <c r="G96" s="2" t="n">
        <v>58.094</v>
      </c>
      <c r="H96">
        <f>ISNUMBER(F96)</f>
        <v/>
      </c>
      <c r="I96" s="2">
        <f>E96-D96</f>
        <v/>
      </c>
      <c r="J96" s="2">
        <f>IF(ISNUMBER(F96),F96-D96,"")</f>
        <v/>
      </c>
      <c r="K96" s="2">
        <f>G96-D96</f>
        <v/>
      </c>
      <c r="L96" s="2">
        <f>ABS(I96)</f>
        <v/>
      </c>
      <c r="M96" s="2">
        <f>IF(ISNUMBER(F96),ABS(F96-D96),"")</f>
        <v/>
      </c>
      <c r="N96" s="2">
        <f>ABS(K96)</f>
        <v/>
      </c>
      <c r="O96" s="3">
        <f>IF(D96=0,"",(E96-D96)/D96)</f>
        <v/>
      </c>
      <c r="P96" s="3">
        <f>IF(ISNUMBER(F96),IF(D96=0,"",(F96-D96)/D96),"")</f>
        <v/>
      </c>
      <c r="Q96" s="3">
        <f>IF(D96=0,"",(G96-D96)/D96)</f>
        <v/>
      </c>
    </row>
    <row r="97">
      <c r="A97" t="inlineStr">
        <is>
          <t>K/01/160gsm/2450mm</t>
        </is>
      </c>
      <c r="B97" t="inlineStr">
        <is>
          <t>SALI</t>
        </is>
      </c>
      <c r="C97" t="inlineStr">
        <is>
          <t>2026-09</t>
        </is>
      </c>
      <c r="D97" s="2" t="n">
        <v>21.52</v>
      </c>
      <c r="E97" s="2" t="n">
        <v>29.351</v>
      </c>
      <c r="F97" s="2" t="n">
        <v>27</v>
      </c>
      <c r="G97" s="2" t="n">
        <v>34.128</v>
      </c>
      <c r="H97">
        <f>ISNUMBER(F97)</f>
        <v/>
      </c>
      <c r="I97" s="2">
        <f>E97-D97</f>
        <v/>
      </c>
      <c r="J97" s="2">
        <f>IF(ISNUMBER(F97),F97-D97,"")</f>
        <v/>
      </c>
      <c r="K97" s="2">
        <f>G97-D97</f>
        <v/>
      </c>
      <c r="L97" s="2">
        <f>ABS(I97)</f>
        <v/>
      </c>
      <c r="M97" s="2">
        <f>IF(ISNUMBER(F97),ABS(F97-D97),"")</f>
        <v/>
      </c>
      <c r="N97" s="2">
        <f>ABS(K97)</f>
        <v/>
      </c>
      <c r="O97" s="3">
        <f>IF(D97=0,"",(E97-D97)/D97)</f>
        <v/>
      </c>
      <c r="P97" s="3">
        <f>IF(ISNUMBER(F97),IF(D97=0,"",(F97-D97)/D97),"")</f>
        <v/>
      </c>
      <c r="Q97" s="3">
        <f>IF(D97=0,"",(G97-D97)/D97)</f>
        <v/>
      </c>
    </row>
    <row r="98">
      <c r="A98" t="inlineStr">
        <is>
          <t>KW2/01/115gsm/1850mm</t>
        </is>
      </c>
      <c r="B98" t="inlineStr">
        <is>
          <t>SALI</t>
        </is>
      </c>
      <c r="C98" t="inlineStr">
        <is>
          <t>2026-09</t>
        </is>
      </c>
      <c r="D98" s="2" t="n">
        <v>28.915</v>
      </c>
      <c r="E98" s="2" t="n">
        <v>42</v>
      </c>
      <c r="F98" s="4" t="inlineStr">
        <is>
          <t>faltante</t>
        </is>
      </c>
      <c r="G98" s="2" t="n">
        <v>28.859</v>
      </c>
      <c r="H98">
        <f>ISNUMBER(F98)</f>
        <v/>
      </c>
      <c r="I98" s="2">
        <f>E98-D98</f>
        <v/>
      </c>
      <c r="J98" s="2">
        <f>IF(ISNUMBER(F98),F98-D98,"")</f>
        <v/>
      </c>
      <c r="K98" s="2">
        <f>G98-D98</f>
        <v/>
      </c>
      <c r="L98" s="2">
        <f>ABS(I98)</f>
        <v/>
      </c>
      <c r="M98" s="2">
        <f>IF(ISNUMBER(F98),ABS(F98-D98),"")</f>
        <v/>
      </c>
      <c r="N98" s="2">
        <f>ABS(K98)</f>
        <v/>
      </c>
      <c r="O98" s="3">
        <f>IF(D98=0,"",(E98-D98)/D98)</f>
        <v/>
      </c>
      <c r="P98" s="3">
        <f>IF(ISNUMBER(F98),IF(D98=0,"",(F98-D98)/D98),"")</f>
        <v/>
      </c>
      <c r="Q98" s="3">
        <f>IF(D98=0,"",(G98-D98)/D98)</f>
        <v/>
      </c>
    </row>
    <row r="99">
      <c r="A99" t="inlineStr">
        <is>
          <t>KW2/01/115gsm/1955mm</t>
        </is>
      </c>
      <c r="B99" t="inlineStr">
        <is>
          <t>SALI</t>
        </is>
      </c>
      <c r="C99" t="inlineStr">
        <is>
          <t>2026-09</t>
        </is>
      </c>
      <c r="D99" s="2" t="n">
        <v>10.929</v>
      </c>
      <c r="E99" s="2" t="n">
        <v>12</v>
      </c>
      <c r="F99" s="4" t="inlineStr">
        <is>
          <t>faltante</t>
        </is>
      </c>
      <c r="G99" s="2" t="n">
        <v>19.83</v>
      </c>
      <c r="H99">
        <f>ISNUMBER(F99)</f>
        <v/>
      </c>
      <c r="I99" s="2">
        <f>E99-D99</f>
        <v/>
      </c>
      <c r="J99" s="2">
        <f>IF(ISNUMBER(F99),F99-D99,"")</f>
        <v/>
      </c>
      <c r="K99" s="2">
        <f>G99-D99</f>
        <v/>
      </c>
      <c r="L99" s="2">
        <f>ABS(I99)</f>
        <v/>
      </c>
      <c r="M99" s="2">
        <f>IF(ISNUMBER(F99),ABS(F99-D99),"")</f>
        <v/>
      </c>
      <c r="N99" s="2">
        <f>ABS(K99)</f>
        <v/>
      </c>
      <c r="O99" s="3">
        <f>IF(D99=0,"",(E99-D99)/D99)</f>
        <v/>
      </c>
      <c r="P99" s="3">
        <f>IF(ISNUMBER(F99),IF(D99=0,"",(F99-D99)/D99),"")</f>
        <v/>
      </c>
      <c r="Q99" s="3">
        <f>IF(D99=0,"",(G99-D99)/D99)</f>
        <v/>
      </c>
    </row>
    <row r="100">
      <c r="A100" t="inlineStr">
        <is>
          <t>KW2/01/115gsm/2250mm</t>
        </is>
      </c>
      <c r="B100" t="inlineStr">
        <is>
          <t>SALI</t>
        </is>
      </c>
      <c r="C100" t="inlineStr">
        <is>
          <t>2026-09</t>
        </is>
      </c>
      <c r="D100" s="2" t="n">
        <v>8.044</v>
      </c>
      <c r="E100" s="2" t="n">
        <v>35</v>
      </c>
      <c r="F100" s="4" t="inlineStr">
        <is>
          <t>faltante</t>
        </is>
      </c>
      <c r="G100" s="2" t="n">
        <v>33.942</v>
      </c>
      <c r="H100">
        <f>ISNUMBER(F100)</f>
        <v/>
      </c>
      <c r="I100" s="2">
        <f>E100-D100</f>
        <v/>
      </c>
      <c r="J100" s="2">
        <f>IF(ISNUMBER(F100),F100-D100,"")</f>
        <v/>
      </c>
      <c r="K100" s="2">
        <f>G100-D100</f>
        <v/>
      </c>
      <c r="L100" s="2">
        <f>ABS(I100)</f>
        <v/>
      </c>
      <c r="M100" s="2">
        <f>IF(ISNUMBER(F100),ABS(F100-D100),"")</f>
        <v/>
      </c>
      <c r="N100" s="2">
        <f>ABS(K100)</f>
        <v/>
      </c>
      <c r="O100" s="3">
        <f>IF(D100=0,"",(E100-D100)/D100)</f>
        <v/>
      </c>
      <c r="P100" s="3">
        <f>IF(ISNUMBER(F100),IF(D100=0,"",(F100-D100)/D100),"")</f>
        <v/>
      </c>
      <c r="Q100" s="3">
        <f>IF(D100=0,"",(G100-D100)/D100)</f>
        <v/>
      </c>
    </row>
    <row r="101">
      <c r="A101" t="inlineStr">
        <is>
          <t>RF1/01/100gsm/2440mm</t>
        </is>
      </c>
      <c r="B101" t="inlineStr">
        <is>
          <t>SALI</t>
        </is>
      </c>
      <c r="C101" t="inlineStr">
        <is>
          <t>2026-09</t>
        </is>
      </c>
      <c r="D101" s="2" t="n">
        <v>41.414</v>
      </c>
      <c r="E101" s="2" t="n">
        <v>42</v>
      </c>
      <c r="F101" s="2" t="n">
        <v>9</v>
      </c>
      <c r="G101" s="2" t="n">
        <v>28.158</v>
      </c>
      <c r="H101">
        <f>ISNUMBER(F101)</f>
        <v/>
      </c>
      <c r="I101" s="2">
        <f>E101-D101</f>
        <v/>
      </c>
      <c r="J101" s="2">
        <f>IF(ISNUMBER(F101),F101-D101,"")</f>
        <v/>
      </c>
      <c r="K101" s="2">
        <f>G101-D101</f>
        <v/>
      </c>
      <c r="L101" s="2">
        <f>ABS(I101)</f>
        <v/>
      </c>
      <c r="M101" s="2">
        <f>IF(ISNUMBER(F101),ABS(F101-D101),"")</f>
        <v/>
      </c>
      <c r="N101" s="2">
        <f>ABS(K101)</f>
        <v/>
      </c>
      <c r="O101" s="3">
        <f>IF(D101=0,"",(E101-D101)/D101)</f>
        <v/>
      </c>
      <c r="P101" s="3">
        <f>IF(ISNUMBER(F101),IF(D101=0,"",(F101-D101)/D101),"")</f>
        <v/>
      </c>
      <c r="Q101" s="3">
        <f>IF(D101=0,"",(G101-D101)/D101)</f>
        <v/>
      </c>
    </row>
    <row r="102">
      <c r="A102" t="inlineStr">
        <is>
          <t>SF1/01/160gsm/1790mm</t>
        </is>
      </c>
      <c r="B102" t="inlineStr">
        <is>
          <t>SALI</t>
        </is>
      </c>
      <c r="C102" t="inlineStr">
        <is>
          <t>2026-09</t>
        </is>
      </c>
      <c r="D102" s="2" t="n">
        <v>63.795</v>
      </c>
      <c r="E102" s="2" t="n">
        <v>97</v>
      </c>
      <c r="F102" s="2" t="n">
        <v>177</v>
      </c>
      <c r="G102" s="2" t="n">
        <v>57.427</v>
      </c>
      <c r="H102">
        <f>ISNUMBER(F102)</f>
        <v/>
      </c>
      <c r="I102" s="2">
        <f>E102-D102</f>
        <v/>
      </c>
      <c r="J102" s="2">
        <f>IF(ISNUMBER(F102),F102-D102,"")</f>
        <v/>
      </c>
      <c r="K102" s="2">
        <f>G102-D102</f>
        <v/>
      </c>
      <c r="L102" s="2">
        <f>ABS(I102)</f>
        <v/>
      </c>
      <c r="M102" s="2">
        <f>IF(ISNUMBER(F102),ABS(F102-D102),"")</f>
        <v/>
      </c>
      <c r="N102" s="2">
        <f>ABS(K102)</f>
        <v/>
      </c>
      <c r="O102" s="3">
        <f>IF(D102=0,"",(E102-D102)/D102)</f>
        <v/>
      </c>
      <c r="P102" s="3">
        <f>IF(ISNUMBER(F102),IF(D102=0,"",(F102-D102)/D102),"")</f>
        <v/>
      </c>
      <c r="Q102" s="3">
        <f>IF(D102=0,"",(G102-D102)/D102)</f>
        <v/>
      </c>
    </row>
    <row r="103">
      <c r="A103" t="inlineStr">
        <is>
          <t>SF1/01/160gsm/1850mm</t>
        </is>
      </c>
      <c r="B103" t="inlineStr">
        <is>
          <t>SALI</t>
        </is>
      </c>
      <c r="C103" t="inlineStr">
        <is>
          <t>2026-09</t>
        </is>
      </c>
      <c r="D103" s="2" t="n">
        <v>89.715</v>
      </c>
      <c r="E103" s="2" t="n">
        <v>167</v>
      </c>
      <c r="F103" s="2" t="n">
        <v>273</v>
      </c>
      <c r="G103" s="2" t="n">
        <v>131.491</v>
      </c>
      <c r="H103">
        <f>ISNUMBER(F103)</f>
        <v/>
      </c>
      <c r="I103" s="2">
        <f>E103-D103</f>
        <v/>
      </c>
      <c r="J103" s="2">
        <f>IF(ISNUMBER(F103),F103-D103,"")</f>
        <v/>
      </c>
      <c r="K103" s="2">
        <f>G103-D103</f>
        <v/>
      </c>
      <c r="L103" s="2">
        <f>ABS(I103)</f>
        <v/>
      </c>
      <c r="M103" s="2">
        <f>IF(ISNUMBER(F103),ABS(F103-D103),"")</f>
        <v/>
      </c>
      <c r="N103" s="2">
        <f>ABS(K103)</f>
        <v/>
      </c>
      <c r="O103" s="3">
        <f>IF(D103=0,"",(E103-D103)/D103)</f>
        <v/>
      </c>
      <c r="P103" s="3">
        <f>IF(ISNUMBER(F103),IF(D103=0,"",(F103-D103)/D103),"")</f>
        <v/>
      </c>
      <c r="Q103" s="3">
        <f>IF(D103=0,"",(G103-D103)/D103)</f>
        <v/>
      </c>
    </row>
    <row r="104">
      <c r="A104" t="inlineStr">
        <is>
          <t>SF1/01/160gsm/1955mm</t>
        </is>
      </c>
      <c r="B104" t="inlineStr">
        <is>
          <t>SALI</t>
        </is>
      </c>
      <c r="C104" t="inlineStr">
        <is>
          <t>2026-09</t>
        </is>
      </c>
      <c r="D104" s="2" t="n">
        <v>56.178</v>
      </c>
      <c r="E104" s="2" t="n">
        <v>67</v>
      </c>
      <c r="F104" s="2" t="n">
        <v>80</v>
      </c>
      <c r="G104" s="2" t="n">
        <v>99.749</v>
      </c>
      <c r="H104">
        <f>ISNUMBER(F104)</f>
        <v/>
      </c>
      <c r="I104" s="2">
        <f>E104-D104</f>
        <v/>
      </c>
      <c r="J104" s="2">
        <f>IF(ISNUMBER(F104),F104-D104,"")</f>
        <v/>
      </c>
      <c r="K104" s="2">
        <f>G104-D104</f>
        <v/>
      </c>
      <c r="L104" s="2">
        <f>ABS(I104)</f>
        <v/>
      </c>
      <c r="M104" s="2">
        <f>IF(ISNUMBER(F104),ABS(F104-D104),"")</f>
        <v/>
      </c>
      <c r="N104" s="2">
        <f>ABS(K104)</f>
        <v/>
      </c>
      <c r="O104" s="3">
        <f>IF(D104=0,"",(E104-D104)/D104)</f>
        <v/>
      </c>
      <c r="P104" s="3">
        <f>IF(ISNUMBER(F104),IF(D104=0,"",(F104-D104)/D104),"")</f>
        <v/>
      </c>
      <c r="Q104" s="3">
        <f>IF(D104=0,"",(G104-D104)/D104)</f>
        <v/>
      </c>
    </row>
    <row r="105">
      <c r="A105" t="inlineStr">
        <is>
          <t>SF1/01/160gsm/2040mm</t>
        </is>
      </c>
      <c r="B105" t="inlineStr">
        <is>
          <t>SALI</t>
        </is>
      </c>
      <c r="C105" t="inlineStr">
        <is>
          <t>2026-09</t>
        </is>
      </c>
      <c r="D105" s="2" t="n">
        <v>132.964</v>
      </c>
      <c r="E105" s="2" t="n">
        <v>179</v>
      </c>
      <c r="F105" s="2" t="n">
        <v>332</v>
      </c>
      <c r="G105" s="2" t="n">
        <v>211.618</v>
      </c>
      <c r="H105">
        <f>ISNUMBER(F105)</f>
        <v/>
      </c>
      <c r="I105" s="2">
        <f>E105-D105</f>
        <v/>
      </c>
      <c r="J105" s="2">
        <f>IF(ISNUMBER(F105),F105-D105,"")</f>
        <v/>
      </c>
      <c r="K105" s="2">
        <f>G105-D105</f>
        <v/>
      </c>
      <c r="L105" s="2">
        <f>ABS(I105)</f>
        <v/>
      </c>
      <c r="M105" s="2">
        <f>IF(ISNUMBER(F105),ABS(F105-D105),"")</f>
        <v/>
      </c>
      <c r="N105" s="2">
        <f>ABS(K105)</f>
        <v/>
      </c>
      <c r="O105" s="3">
        <f>IF(D105=0,"",(E105-D105)/D105)</f>
        <v/>
      </c>
      <c r="P105" s="3">
        <f>IF(ISNUMBER(F105),IF(D105=0,"",(F105-D105)/D105),"")</f>
        <v/>
      </c>
      <c r="Q105" s="3">
        <f>IF(D105=0,"",(G105-D105)/D105)</f>
        <v/>
      </c>
    </row>
    <row r="106">
      <c r="A106" t="inlineStr">
        <is>
          <t>SF1/01/160gsm/2150mm</t>
        </is>
      </c>
      <c r="B106" t="inlineStr">
        <is>
          <t>SALI</t>
        </is>
      </c>
      <c r="C106" t="inlineStr">
        <is>
          <t>2026-09</t>
        </is>
      </c>
      <c r="D106" s="2" t="n">
        <v>63.664</v>
      </c>
      <c r="E106" s="2" t="n">
        <v>94</v>
      </c>
      <c r="F106" s="2" t="n">
        <v>218</v>
      </c>
      <c r="G106" s="2" t="n">
        <v>94.05800000000001</v>
      </c>
      <c r="H106">
        <f>ISNUMBER(F106)</f>
        <v/>
      </c>
      <c r="I106" s="2">
        <f>E106-D106</f>
        <v/>
      </c>
      <c r="J106" s="2">
        <f>IF(ISNUMBER(F106),F106-D106,"")</f>
        <v/>
      </c>
      <c r="K106" s="2">
        <f>G106-D106</f>
        <v/>
      </c>
      <c r="L106" s="2">
        <f>ABS(I106)</f>
        <v/>
      </c>
      <c r="M106" s="2">
        <f>IF(ISNUMBER(F106),ABS(F106-D106),"")</f>
        <v/>
      </c>
      <c r="N106" s="2">
        <f>ABS(K106)</f>
        <v/>
      </c>
      <c r="O106" s="3">
        <f>IF(D106=0,"",(E106-D106)/D106)</f>
        <v/>
      </c>
      <c r="P106" s="3">
        <f>IF(ISNUMBER(F106),IF(D106=0,"",(F106-D106)/D106),"")</f>
        <v/>
      </c>
      <c r="Q106" s="3">
        <f>IF(D106=0,"",(G106-D106)/D106)</f>
        <v/>
      </c>
    </row>
    <row r="107">
      <c r="A107" t="inlineStr">
        <is>
          <t>SF1/01/160gsm/2250mm</t>
        </is>
      </c>
      <c r="B107" t="inlineStr">
        <is>
          <t>SALI</t>
        </is>
      </c>
      <c r="C107" t="inlineStr">
        <is>
          <t>2026-09</t>
        </is>
      </c>
      <c r="D107" s="2" t="n">
        <v>91.428</v>
      </c>
      <c r="E107" s="2" t="n">
        <v>96</v>
      </c>
      <c r="F107" s="2" t="n">
        <v>167</v>
      </c>
      <c r="G107" s="2" t="n">
        <v>142.661</v>
      </c>
      <c r="H107">
        <f>ISNUMBER(F107)</f>
        <v/>
      </c>
      <c r="I107" s="2">
        <f>E107-D107</f>
        <v/>
      </c>
      <c r="J107" s="2">
        <f>IF(ISNUMBER(F107),F107-D107,"")</f>
        <v/>
      </c>
      <c r="K107" s="2">
        <f>G107-D107</f>
        <v/>
      </c>
      <c r="L107" s="2">
        <f>ABS(I107)</f>
        <v/>
      </c>
      <c r="M107" s="2">
        <f>IF(ISNUMBER(F107),ABS(F107-D107),"")</f>
        <v/>
      </c>
      <c r="N107" s="2">
        <f>ABS(K107)</f>
        <v/>
      </c>
      <c r="O107" s="3">
        <f>IF(D107=0,"",(E107-D107)/D107)</f>
        <v/>
      </c>
      <c r="P107" s="3">
        <f>IF(ISNUMBER(F107),IF(D107=0,"",(F107-D107)/D107),"")</f>
        <v/>
      </c>
      <c r="Q107" s="3">
        <f>IF(D107=0,"",(G107-D107)/D107)</f>
        <v/>
      </c>
    </row>
    <row r="108">
      <c r="A108" t="inlineStr">
        <is>
          <t>SF1/01/160gsm/2370mm</t>
        </is>
      </c>
      <c r="B108" t="inlineStr">
        <is>
          <t>SALI</t>
        </is>
      </c>
      <c r="C108" t="inlineStr">
        <is>
          <t>2026-09</t>
        </is>
      </c>
      <c r="D108" s="2" t="n">
        <v>44.141</v>
      </c>
      <c r="E108" s="2" t="n">
        <v>55</v>
      </c>
      <c r="F108" s="2" t="n">
        <v>97</v>
      </c>
      <c r="G108" s="2" t="n">
        <v>133.822</v>
      </c>
      <c r="H108">
        <f>ISNUMBER(F108)</f>
        <v/>
      </c>
      <c r="I108" s="2">
        <f>E108-D108</f>
        <v/>
      </c>
      <c r="J108" s="2">
        <f>IF(ISNUMBER(F108),F108-D108,"")</f>
        <v/>
      </c>
      <c r="K108" s="2">
        <f>G108-D108</f>
        <v/>
      </c>
      <c r="L108" s="2">
        <f>ABS(I108)</f>
        <v/>
      </c>
      <c r="M108" s="2">
        <f>IF(ISNUMBER(F108),ABS(F108-D108),"")</f>
        <v/>
      </c>
      <c r="N108" s="2">
        <f>ABS(K108)</f>
        <v/>
      </c>
      <c r="O108" s="3">
        <f>IF(D108=0,"",(E108-D108)/D108)</f>
        <v/>
      </c>
      <c r="P108" s="3">
        <f>IF(ISNUMBER(F108),IF(D108=0,"",(F108-D108)/D108),"")</f>
        <v/>
      </c>
      <c r="Q108" s="3">
        <f>IF(D108=0,"",(G108-D108)/D108)</f>
        <v/>
      </c>
    </row>
    <row r="109">
      <c r="A109" t="inlineStr">
        <is>
          <t>SF1/01/160gsm/2440mm</t>
        </is>
      </c>
      <c r="B109" t="inlineStr">
        <is>
          <t>SALI</t>
        </is>
      </c>
      <c r="C109" t="inlineStr">
        <is>
          <t>2026-09</t>
        </is>
      </c>
      <c r="D109" s="2" t="n">
        <v>65.169</v>
      </c>
      <c r="E109" s="2" t="n">
        <v>123</v>
      </c>
      <c r="F109" s="2" t="n">
        <v>134</v>
      </c>
      <c r="G109" s="2" t="n">
        <v>127.125</v>
      </c>
      <c r="H109">
        <f>ISNUMBER(F109)</f>
        <v/>
      </c>
      <c r="I109" s="2">
        <f>E109-D109</f>
        <v/>
      </c>
      <c r="J109" s="2">
        <f>IF(ISNUMBER(F109),F109-D109,"")</f>
        <v/>
      </c>
      <c r="K109" s="2">
        <f>G109-D109</f>
        <v/>
      </c>
      <c r="L109" s="2">
        <f>ABS(I109)</f>
        <v/>
      </c>
      <c r="M109" s="2">
        <f>IF(ISNUMBER(F109),ABS(F109-D109),"")</f>
        <v/>
      </c>
      <c r="N109" s="2">
        <f>ABS(K109)</f>
        <v/>
      </c>
      <c r="O109" s="3">
        <f>IF(D109=0,"",(E109-D109)/D109)</f>
        <v/>
      </c>
      <c r="P109" s="3">
        <f>IF(ISNUMBER(F109),IF(D109=0,"",(F109-D109)/D109),"")</f>
        <v/>
      </c>
      <c r="Q109" s="3">
        <f>IF(D109=0,"",(G109-D109)/D109)</f>
        <v/>
      </c>
    </row>
    <row r="110">
      <c r="A110" t="inlineStr">
        <is>
          <t>HP2/01/115gsm/1790mm</t>
        </is>
      </c>
      <c r="B110" t="inlineStr">
        <is>
          <t>SALM</t>
        </is>
      </c>
      <c r="C110" t="inlineStr">
        <is>
          <t>2026-09</t>
        </is>
      </c>
      <c r="D110" s="2" t="n">
        <v>82.72</v>
      </c>
      <c r="E110" s="2" t="n">
        <v>70</v>
      </c>
      <c r="F110" s="2" t="n">
        <v>13</v>
      </c>
      <c r="G110" s="2" t="n">
        <v>47.474</v>
      </c>
      <c r="H110">
        <f>ISNUMBER(F110)</f>
        <v/>
      </c>
      <c r="I110" s="2">
        <f>E110-D110</f>
        <v/>
      </c>
      <c r="J110" s="2">
        <f>IF(ISNUMBER(F110),F110-D110,"")</f>
        <v/>
      </c>
      <c r="K110" s="2">
        <f>G110-D110</f>
        <v/>
      </c>
      <c r="L110" s="2">
        <f>ABS(I110)</f>
        <v/>
      </c>
      <c r="M110" s="2">
        <f>IF(ISNUMBER(F110),ABS(F110-D110),"")</f>
        <v/>
      </c>
      <c r="N110" s="2">
        <f>ABS(K110)</f>
        <v/>
      </c>
      <c r="O110" s="3">
        <f>IF(D110=0,"",(E110-D110)/D110)</f>
        <v/>
      </c>
      <c r="P110" s="3">
        <f>IF(ISNUMBER(F110),IF(D110=0,"",(F110-D110)/D110),"")</f>
        <v/>
      </c>
      <c r="Q110" s="3">
        <f>IF(D110=0,"",(G110-D110)/D110)</f>
        <v/>
      </c>
    </row>
    <row r="111">
      <c r="A111" t="inlineStr">
        <is>
          <t>HP2/01/115gsm/1850mm</t>
        </is>
      </c>
      <c r="B111" t="inlineStr">
        <is>
          <t>SALM</t>
        </is>
      </c>
      <c r="C111" t="inlineStr">
        <is>
          <t>2026-09</t>
        </is>
      </c>
      <c r="D111" s="2" t="n">
        <v>108.05</v>
      </c>
      <c r="E111" s="2" t="n">
        <v>120</v>
      </c>
      <c r="F111" s="4" t="inlineStr">
        <is>
          <t>faltante</t>
        </is>
      </c>
      <c r="G111" s="2" t="n">
        <v>35.817</v>
      </c>
      <c r="H111">
        <f>ISNUMBER(F111)</f>
        <v/>
      </c>
      <c r="I111" s="2">
        <f>E111-D111</f>
        <v/>
      </c>
      <c r="J111" s="2">
        <f>IF(ISNUMBER(F111),F111-D111,"")</f>
        <v/>
      </c>
      <c r="K111" s="2">
        <f>G111-D111</f>
        <v/>
      </c>
      <c r="L111" s="2">
        <f>ABS(I111)</f>
        <v/>
      </c>
      <c r="M111" s="2">
        <f>IF(ISNUMBER(F111),ABS(F111-D111),"")</f>
        <v/>
      </c>
      <c r="N111" s="2">
        <f>ABS(K111)</f>
        <v/>
      </c>
      <c r="O111" s="3">
        <f>IF(D111=0,"",(E111-D111)/D111)</f>
        <v/>
      </c>
      <c r="P111" s="3">
        <f>IF(ISNUMBER(F111),IF(D111=0,"",(F111-D111)/D111),"")</f>
        <v/>
      </c>
      <c r="Q111" s="3">
        <f>IF(D111=0,"",(G111-D111)/D111)</f>
        <v/>
      </c>
    </row>
    <row r="112">
      <c r="A112" t="inlineStr">
        <is>
          <t>HP2/01/115gsm/1955mm</t>
        </is>
      </c>
      <c r="B112" t="inlineStr">
        <is>
          <t>SALM</t>
        </is>
      </c>
      <c r="C112" t="inlineStr">
        <is>
          <t>2026-09</t>
        </is>
      </c>
      <c r="D112" s="2" t="n">
        <v>145.895</v>
      </c>
      <c r="E112" s="2" t="n">
        <v>130</v>
      </c>
      <c r="F112" s="4" t="inlineStr">
        <is>
          <t>faltante</t>
        </is>
      </c>
      <c r="G112" s="2" t="n">
        <v>48.436</v>
      </c>
      <c r="H112">
        <f>ISNUMBER(F112)</f>
        <v/>
      </c>
      <c r="I112" s="2">
        <f>E112-D112</f>
        <v/>
      </c>
      <c r="J112" s="2">
        <f>IF(ISNUMBER(F112),F112-D112,"")</f>
        <v/>
      </c>
      <c r="K112" s="2">
        <f>G112-D112</f>
        <v/>
      </c>
      <c r="L112" s="2">
        <f>ABS(I112)</f>
        <v/>
      </c>
      <c r="M112" s="2">
        <f>IF(ISNUMBER(F112),ABS(F112-D112),"")</f>
        <v/>
      </c>
      <c r="N112" s="2">
        <f>ABS(K112)</f>
        <v/>
      </c>
      <c r="O112" s="3">
        <f>IF(D112=0,"",(E112-D112)/D112)</f>
        <v/>
      </c>
      <c r="P112" s="3">
        <f>IF(ISNUMBER(F112),IF(D112=0,"",(F112-D112)/D112),"")</f>
        <v/>
      </c>
      <c r="Q112" s="3">
        <f>IF(D112=0,"",(G112-D112)/D112)</f>
        <v/>
      </c>
    </row>
    <row r="113">
      <c r="A113" t="inlineStr">
        <is>
          <t>HP2/01/115gsm/2040mm</t>
        </is>
      </c>
      <c r="B113" t="inlineStr">
        <is>
          <t>SALM</t>
        </is>
      </c>
      <c r="C113" t="inlineStr">
        <is>
          <t>2026-09</t>
        </is>
      </c>
      <c r="D113" s="2" t="n">
        <v>87.774</v>
      </c>
      <c r="E113" s="2" t="n">
        <v>60</v>
      </c>
      <c r="F113" s="4" t="inlineStr">
        <is>
          <t>faltante</t>
        </is>
      </c>
      <c r="G113" s="2" t="n">
        <v>40.324</v>
      </c>
      <c r="H113">
        <f>ISNUMBER(F113)</f>
        <v/>
      </c>
      <c r="I113" s="2">
        <f>E113-D113</f>
        <v/>
      </c>
      <c r="J113" s="2">
        <f>IF(ISNUMBER(F113),F113-D113,"")</f>
        <v/>
      </c>
      <c r="K113" s="2">
        <f>G113-D113</f>
        <v/>
      </c>
      <c r="L113" s="2">
        <f>ABS(I113)</f>
        <v/>
      </c>
      <c r="M113" s="2">
        <f>IF(ISNUMBER(F113),ABS(F113-D113),"")</f>
        <v/>
      </c>
      <c r="N113" s="2">
        <f>ABS(K113)</f>
        <v/>
      </c>
      <c r="O113" s="3">
        <f>IF(D113=0,"",(E113-D113)/D113)</f>
        <v/>
      </c>
      <c r="P113" s="3">
        <f>IF(ISNUMBER(F113),IF(D113=0,"",(F113-D113)/D113),"")</f>
        <v/>
      </c>
      <c r="Q113" s="3">
        <f>IF(D113=0,"",(G113-D113)/D113)</f>
        <v/>
      </c>
    </row>
    <row r="114">
      <c r="A114" t="inlineStr">
        <is>
          <t>HP2/01/115gsm/2150mm</t>
        </is>
      </c>
      <c r="B114" t="inlineStr">
        <is>
          <t>SALM</t>
        </is>
      </c>
      <c r="C114" t="inlineStr">
        <is>
          <t>2026-09</t>
        </is>
      </c>
      <c r="D114" s="2" t="n">
        <v>101.911</v>
      </c>
      <c r="E114" s="2" t="n">
        <v>70</v>
      </c>
      <c r="F114" s="4" t="inlineStr">
        <is>
          <t>faltante</t>
        </is>
      </c>
      <c r="G114" s="2" t="n">
        <v>28.164</v>
      </c>
      <c r="H114">
        <f>ISNUMBER(F114)</f>
        <v/>
      </c>
      <c r="I114" s="2">
        <f>E114-D114</f>
        <v/>
      </c>
      <c r="J114" s="2">
        <f>IF(ISNUMBER(F114),F114-D114,"")</f>
        <v/>
      </c>
      <c r="K114" s="2">
        <f>G114-D114</f>
        <v/>
      </c>
      <c r="L114" s="2">
        <f>ABS(I114)</f>
        <v/>
      </c>
      <c r="M114" s="2">
        <f>IF(ISNUMBER(F114),ABS(F114-D114),"")</f>
        <v/>
      </c>
      <c r="N114" s="2">
        <f>ABS(K114)</f>
        <v/>
      </c>
      <c r="O114" s="3">
        <f>IF(D114=0,"",(E114-D114)/D114)</f>
        <v/>
      </c>
      <c r="P114" s="3">
        <f>IF(ISNUMBER(F114),IF(D114=0,"",(F114-D114)/D114),"")</f>
        <v/>
      </c>
      <c r="Q114" s="3">
        <f>IF(D114=0,"",(G114-D114)/D114)</f>
        <v/>
      </c>
    </row>
    <row r="115">
      <c r="A115" t="inlineStr">
        <is>
          <t>HP2/01/115gsm/2250mm</t>
        </is>
      </c>
      <c r="B115" t="inlineStr">
        <is>
          <t>SALM</t>
        </is>
      </c>
      <c r="C115" t="inlineStr">
        <is>
          <t>2026-09</t>
        </is>
      </c>
      <c r="D115" s="2" t="n">
        <v>66.854</v>
      </c>
      <c r="E115" s="2" t="n">
        <v>50</v>
      </c>
      <c r="F115" s="4" t="inlineStr">
        <is>
          <t>faltante</t>
        </is>
      </c>
      <c r="G115" s="2" t="n">
        <v>64.605</v>
      </c>
      <c r="H115">
        <f>ISNUMBER(F115)</f>
        <v/>
      </c>
      <c r="I115" s="2">
        <f>E115-D115</f>
        <v/>
      </c>
      <c r="J115" s="2">
        <f>IF(ISNUMBER(F115),F115-D115,"")</f>
        <v/>
      </c>
      <c r="K115" s="2">
        <f>G115-D115</f>
        <v/>
      </c>
      <c r="L115" s="2">
        <f>ABS(I115)</f>
        <v/>
      </c>
      <c r="M115" s="2">
        <f>IF(ISNUMBER(F115),ABS(F115-D115),"")</f>
        <v/>
      </c>
      <c r="N115" s="2">
        <f>ABS(K115)</f>
        <v/>
      </c>
      <c r="O115" s="3">
        <f>IF(D115=0,"",(E115-D115)/D115)</f>
        <v/>
      </c>
      <c r="P115" s="3">
        <f>IF(ISNUMBER(F115),IF(D115=0,"",(F115-D115)/D115),"")</f>
        <v/>
      </c>
      <c r="Q115" s="3">
        <f>IF(D115=0,"",(G115-D115)/D115)</f>
        <v/>
      </c>
    </row>
    <row r="116">
      <c r="A116" t="inlineStr">
        <is>
          <t>HP2/01/115gsm/2370mm</t>
        </is>
      </c>
      <c r="B116" t="inlineStr">
        <is>
          <t>SALM</t>
        </is>
      </c>
      <c r="C116" t="inlineStr">
        <is>
          <t>2026-09</t>
        </is>
      </c>
      <c r="D116" s="2" t="n">
        <v>25.186</v>
      </c>
      <c r="E116" s="2" t="n">
        <v>30</v>
      </c>
      <c r="F116" s="4" t="inlineStr">
        <is>
          <t>faltante</t>
        </is>
      </c>
      <c r="G116" s="2" t="n">
        <v>12.131</v>
      </c>
      <c r="H116">
        <f>ISNUMBER(F116)</f>
        <v/>
      </c>
      <c r="I116" s="2">
        <f>E116-D116</f>
        <v/>
      </c>
      <c r="J116" s="2">
        <f>IF(ISNUMBER(F116),F116-D116,"")</f>
        <v/>
      </c>
      <c r="K116" s="2">
        <f>G116-D116</f>
        <v/>
      </c>
      <c r="L116" s="2">
        <f>ABS(I116)</f>
        <v/>
      </c>
      <c r="M116" s="2">
        <f>IF(ISNUMBER(F116),ABS(F116-D116),"")</f>
        <v/>
      </c>
      <c r="N116" s="2">
        <f>ABS(K116)</f>
        <v/>
      </c>
      <c r="O116" s="3">
        <f>IF(D116=0,"",(E116-D116)/D116)</f>
        <v/>
      </c>
      <c r="P116" s="3">
        <f>IF(ISNUMBER(F116),IF(D116=0,"",(F116-D116)/D116),"")</f>
        <v/>
      </c>
      <c r="Q116" s="3">
        <f>IF(D116=0,"",(G116-D116)/D116)</f>
        <v/>
      </c>
    </row>
    <row r="117">
      <c r="A117" t="inlineStr">
        <is>
          <t>HP2/01/115gsm/2440mm</t>
        </is>
      </c>
      <c r="B117" t="inlineStr">
        <is>
          <t>SALM</t>
        </is>
      </c>
      <c r="C117" t="inlineStr">
        <is>
          <t>2026-09</t>
        </is>
      </c>
      <c r="D117" s="2" t="n">
        <v>65.242</v>
      </c>
      <c r="E117" s="2" t="n">
        <v>40</v>
      </c>
      <c r="F117" s="4" t="inlineStr">
        <is>
          <t>faltante</t>
        </is>
      </c>
      <c r="G117" s="2" t="n">
        <v>44.632</v>
      </c>
      <c r="H117">
        <f>ISNUMBER(F117)</f>
        <v/>
      </c>
      <c r="I117" s="2">
        <f>E117-D117</f>
        <v/>
      </c>
      <c r="J117" s="2">
        <f>IF(ISNUMBER(F117),F117-D117,"")</f>
        <v/>
      </c>
      <c r="K117" s="2">
        <f>G117-D117</f>
        <v/>
      </c>
      <c r="L117" s="2">
        <f>ABS(I117)</f>
        <v/>
      </c>
      <c r="M117" s="2">
        <f>IF(ISNUMBER(F117),ABS(F117-D117),"")</f>
        <v/>
      </c>
      <c r="N117" s="2">
        <f>ABS(K117)</f>
        <v/>
      </c>
      <c r="O117" s="3">
        <f>IF(D117=0,"",(E117-D117)/D117)</f>
        <v/>
      </c>
      <c r="P117" s="3">
        <f>IF(ISNUMBER(F117),IF(D117=0,"",(F117-D117)/D117),"")</f>
        <v/>
      </c>
      <c r="Q117" s="3">
        <f>IF(D117=0,"",(G117-D117)/D117)</f>
        <v/>
      </c>
    </row>
    <row r="118">
      <c r="A118" t="inlineStr">
        <is>
          <t>HP2/01/155gsm/1790mm</t>
        </is>
      </c>
      <c r="B118" t="inlineStr">
        <is>
          <t>SALM</t>
        </is>
      </c>
      <c r="C118" t="inlineStr">
        <is>
          <t>2026-09</t>
        </is>
      </c>
      <c r="D118" s="2" t="n">
        <v>151.147</v>
      </c>
      <c r="E118" s="2" t="n">
        <v>100</v>
      </c>
      <c r="F118" s="2" t="n">
        <v>76</v>
      </c>
      <c r="G118" s="2" t="n">
        <v>49.633</v>
      </c>
      <c r="H118">
        <f>ISNUMBER(F118)</f>
        <v/>
      </c>
      <c r="I118" s="2">
        <f>E118-D118</f>
        <v/>
      </c>
      <c r="J118" s="2">
        <f>IF(ISNUMBER(F118),F118-D118,"")</f>
        <v/>
      </c>
      <c r="K118" s="2">
        <f>G118-D118</f>
        <v/>
      </c>
      <c r="L118" s="2">
        <f>ABS(I118)</f>
        <v/>
      </c>
      <c r="M118" s="2">
        <f>IF(ISNUMBER(F118),ABS(F118-D118),"")</f>
        <v/>
      </c>
      <c r="N118" s="2">
        <f>ABS(K118)</f>
        <v/>
      </c>
      <c r="O118" s="3">
        <f>IF(D118=0,"",(E118-D118)/D118)</f>
        <v/>
      </c>
      <c r="P118" s="3">
        <f>IF(ISNUMBER(F118),IF(D118=0,"",(F118-D118)/D118),"")</f>
        <v/>
      </c>
      <c r="Q118" s="3">
        <f>IF(D118=0,"",(G118-D118)/D118)</f>
        <v/>
      </c>
    </row>
    <row r="119">
      <c r="A119" t="inlineStr">
        <is>
          <t>HP2/01/155gsm/1955mm</t>
        </is>
      </c>
      <c r="B119" t="inlineStr">
        <is>
          <t>SALM</t>
        </is>
      </c>
      <c r="C119" t="inlineStr">
        <is>
          <t>2026-09</t>
        </is>
      </c>
      <c r="D119" s="2" t="n">
        <v>293.97</v>
      </c>
      <c r="E119" s="2" t="n">
        <v>270</v>
      </c>
      <c r="F119" s="2" t="n">
        <v>141</v>
      </c>
      <c r="G119" s="2" t="n">
        <v>180.292</v>
      </c>
      <c r="H119">
        <f>ISNUMBER(F119)</f>
        <v/>
      </c>
      <c r="I119" s="2">
        <f>E119-D119</f>
        <v/>
      </c>
      <c r="J119" s="2">
        <f>IF(ISNUMBER(F119),F119-D119,"")</f>
        <v/>
      </c>
      <c r="K119" s="2">
        <f>G119-D119</f>
        <v/>
      </c>
      <c r="L119" s="2">
        <f>ABS(I119)</f>
        <v/>
      </c>
      <c r="M119" s="2">
        <f>IF(ISNUMBER(F119),ABS(F119-D119),"")</f>
        <v/>
      </c>
      <c r="N119" s="2">
        <f>ABS(K119)</f>
        <v/>
      </c>
      <c r="O119" s="3">
        <f>IF(D119=0,"",(E119-D119)/D119)</f>
        <v/>
      </c>
      <c r="P119" s="3">
        <f>IF(ISNUMBER(F119),IF(D119=0,"",(F119-D119)/D119),"")</f>
        <v/>
      </c>
      <c r="Q119" s="3">
        <f>IF(D119=0,"",(G119-D119)/D119)</f>
        <v/>
      </c>
    </row>
    <row r="120">
      <c r="A120" t="inlineStr">
        <is>
          <t>HP2/01/155gsm/2040mm</t>
        </is>
      </c>
      <c r="B120" t="inlineStr">
        <is>
          <t>SALM</t>
        </is>
      </c>
      <c r="C120" t="inlineStr">
        <is>
          <t>2026-09</t>
        </is>
      </c>
      <c r="D120" s="2" t="n">
        <v>146.578</v>
      </c>
      <c r="E120" s="2" t="n">
        <v>120</v>
      </c>
      <c r="F120" s="2" t="n">
        <v>139</v>
      </c>
      <c r="G120" s="2" t="n">
        <v>92.51000000000001</v>
      </c>
      <c r="H120">
        <f>ISNUMBER(F120)</f>
        <v/>
      </c>
      <c r="I120" s="2">
        <f>E120-D120</f>
        <v/>
      </c>
      <c r="J120" s="2">
        <f>IF(ISNUMBER(F120),F120-D120,"")</f>
        <v/>
      </c>
      <c r="K120" s="2">
        <f>G120-D120</f>
        <v/>
      </c>
      <c r="L120" s="2">
        <f>ABS(I120)</f>
        <v/>
      </c>
      <c r="M120" s="2">
        <f>IF(ISNUMBER(F120),ABS(F120-D120),"")</f>
        <v/>
      </c>
      <c r="N120" s="2">
        <f>ABS(K120)</f>
        <v/>
      </c>
      <c r="O120" s="3">
        <f>IF(D120=0,"",(E120-D120)/D120)</f>
        <v/>
      </c>
      <c r="P120" s="3">
        <f>IF(ISNUMBER(F120),IF(D120=0,"",(F120-D120)/D120),"")</f>
        <v/>
      </c>
      <c r="Q120" s="3">
        <f>IF(D120=0,"",(G120-D120)/D120)</f>
        <v/>
      </c>
    </row>
    <row r="121">
      <c r="A121" t="inlineStr">
        <is>
          <t>HP2/01/155gsm/2150mm</t>
        </is>
      </c>
      <c r="B121" t="inlineStr">
        <is>
          <t>SALM</t>
        </is>
      </c>
      <c r="C121" t="inlineStr">
        <is>
          <t>2026-09</t>
        </is>
      </c>
      <c r="D121" s="2" t="n">
        <v>199.419</v>
      </c>
      <c r="E121" s="2" t="n">
        <v>150</v>
      </c>
      <c r="F121" s="2" t="n">
        <v>121</v>
      </c>
      <c r="G121" s="2" t="n">
        <v>114.475</v>
      </c>
      <c r="H121">
        <f>ISNUMBER(F121)</f>
        <v/>
      </c>
      <c r="I121" s="2">
        <f>E121-D121</f>
        <v/>
      </c>
      <c r="J121" s="2">
        <f>IF(ISNUMBER(F121),F121-D121,"")</f>
        <v/>
      </c>
      <c r="K121" s="2">
        <f>G121-D121</f>
        <v/>
      </c>
      <c r="L121" s="2">
        <f>ABS(I121)</f>
        <v/>
      </c>
      <c r="M121" s="2">
        <f>IF(ISNUMBER(F121),ABS(F121-D121),"")</f>
        <v/>
      </c>
      <c r="N121" s="2">
        <f>ABS(K121)</f>
        <v/>
      </c>
      <c r="O121" s="3">
        <f>IF(D121=0,"",(E121-D121)/D121)</f>
        <v/>
      </c>
      <c r="P121" s="3">
        <f>IF(ISNUMBER(F121),IF(D121=0,"",(F121-D121)/D121),"")</f>
        <v/>
      </c>
      <c r="Q121" s="3">
        <f>IF(D121=0,"",(G121-D121)/D121)</f>
        <v/>
      </c>
    </row>
    <row r="122">
      <c r="A122" t="inlineStr">
        <is>
          <t>HP2/01/155gsm/2250mm</t>
        </is>
      </c>
      <c r="B122" t="inlineStr">
        <is>
          <t>SALM</t>
        </is>
      </c>
      <c r="C122" t="inlineStr">
        <is>
          <t>2026-09</t>
        </is>
      </c>
      <c r="D122" s="2" t="n">
        <v>78.23099999999999</v>
      </c>
      <c r="E122" s="2" t="n">
        <v>90</v>
      </c>
      <c r="F122" s="2" t="n">
        <v>64</v>
      </c>
      <c r="G122" s="2" t="n">
        <v>55.459</v>
      </c>
      <c r="H122">
        <f>ISNUMBER(F122)</f>
        <v/>
      </c>
      <c r="I122" s="2">
        <f>E122-D122</f>
        <v/>
      </c>
      <c r="J122" s="2">
        <f>IF(ISNUMBER(F122),F122-D122,"")</f>
        <v/>
      </c>
      <c r="K122" s="2">
        <f>G122-D122</f>
        <v/>
      </c>
      <c r="L122" s="2">
        <f>ABS(I122)</f>
        <v/>
      </c>
      <c r="M122" s="2">
        <f>IF(ISNUMBER(F122),ABS(F122-D122),"")</f>
        <v/>
      </c>
      <c r="N122" s="2">
        <f>ABS(K122)</f>
        <v/>
      </c>
      <c r="O122" s="3">
        <f>IF(D122=0,"",(E122-D122)/D122)</f>
        <v/>
      </c>
      <c r="P122" s="3">
        <f>IF(ISNUMBER(F122),IF(D122=0,"",(F122-D122)/D122),"")</f>
        <v/>
      </c>
      <c r="Q122" s="3">
        <f>IF(D122=0,"",(G122-D122)/D122)</f>
        <v/>
      </c>
    </row>
    <row r="123">
      <c r="A123" t="inlineStr">
        <is>
          <t>HP2/01/155gsm/2370mm</t>
        </is>
      </c>
      <c r="B123" t="inlineStr">
        <is>
          <t>SALM</t>
        </is>
      </c>
      <c r="C123" t="inlineStr">
        <is>
          <t>2026-09</t>
        </is>
      </c>
      <c r="D123" s="2" t="n">
        <v>61.929</v>
      </c>
      <c r="E123" s="2" t="n">
        <v>90</v>
      </c>
      <c r="F123" s="2" t="n">
        <v>27</v>
      </c>
      <c r="G123" s="2" t="n">
        <v>100.351</v>
      </c>
      <c r="H123">
        <f>ISNUMBER(F123)</f>
        <v/>
      </c>
      <c r="I123" s="2">
        <f>E123-D123</f>
        <v/>
      </c>
      <c r="J123" s="2">
        <f>IF(ISNUMBER(F123),F123-D123,"")</f>
        <v/>
      </c>
      <c r="K123" s="2">
        <f>G123-D123</f>
        <v/>
      </c>
      <c r="L123" s="2">
        <f>ABS(I123)</f>
        <v/>
      </c>
      <c r="M123" s="2">
        <f>IF(ISNUMBER(F123),ABS(F123-D123),"")</f>
        <v/>
      </c>
      <c r="N123" s="2">
        <f>ABS(K123)</f>
        <v/>
      </c>
      <c r="O123" s="3">
        <f>IF(D123=0,"",(E123-D123)/D123)</f>
        <v/>
      </c>
      <c r="P123" s="3">
        <f>IF(ISNUMBER(F123),IF(D123=0,"",(F123-D123)/D123),"")</f>
        <v/>
      </c>
      <c r="Q123" s="3">
        <f>IF(D123=0,"",(G123-D123)/D123)</f>
        <v/>
      </c>
    </row>
    <row r="124">
      <c r="A124" t="inlineStr">
        <is>
          <t>HP2/01/155gsm/2440mm</t>
        </is>
      </c>
      <c r="B124" t="inlineStr">
        <is>
          <t>SALM</t>
        </is>
      </c>
      <c r="C124" t="inlineStr">
        <is>
          <t>2026-09</t>
        </is>
      </c>
      <c r="D124" s="2" t="n">
        <v>85.06699999999999</v>
      </c>
      <c r="E124" s="2" t="n">
        <v>110</v>
      </c>
      <c r="F124" s="2" t="n">
        <v>54</v>
      </c>
      <c r="G124" s="2" t="n">
        <v>83.908</v>
      </c>
      <c r="H124">
        <f>ISNUMBER(F124)</f>
        <v/>
      </c>
      <c r="I124" s="2">
        <f>E124-D124</f>
        <v/>
      </c>
      <c r="J124" s="2">
        <f>IF(ISNUMBER(F124),F124-D124,"")</f>
        <v/>
      </c>
      <c r="K124" s="2">
        <f>G124-D124</f>
        <v/>
      </c>
      <c r="L124" s="2">
        <f>ABS(I124)</f>
        <v/>
      </c>
      <c r="M124" s="2">
        <f>IF(ISNUMBER(F124),ABS(F124-D124),"")</f>
        <v/>
      </c>
      <c r="N124" s="2">
        <f>ABS(K124)</f>
        <v/>
      </c>
      <c r="O124" s="3">
        <f>IF(D124=0,"",(E124-D124)/D124)</f>
        <v/>
      </c>
      <c r="P124" s="3">
        <f>IF(ISNUMBER(F124),IF(D124=0,"",(F124-D124)/D124),"")</f>
        <v/>
      </c>
      <c r="Q124" s="3">
        <f>IF(D124=0,"",(G124-D124)/D124)</f>
        <v/>
      </c>
    </row>
    <row r="125">
      <c r="A125" t="inlineStr">
        <is>
          <t>K/01/110gsm/1800mm</t>
        </is>
      </c>
      <c r="B125" t="inlineStr">
        <is>
          <t>SALM</t>
        </is>
      </c>
      <c r="C125" t="inlineStr">
        <is>
          <t>2026-09</t>
        </is>
      </c>
      <c r="D125" s="2" t="n">
        <v>13.775</v>
      </c>
      <c r="E125" s="2" t="n">
        <v>30</v>
      </c>
      <c r="F125" s="2" t="n">
        <v>19</v>
      </c>
      <c r="G125" s="2" t="n">
        <v>16.862</v>
      </c>
      <c r="H125">
        <f>ISNUMBER(F125)</f>
        <v/>
      </c>
      <c r="I125" s="2">
        <f>E125-D125</f>
        <v/>
      </c>
      <c r="J125" s="2">
        <f>IF(ISNUMBER(F125),F125-D125,"")</f>
        <v/>
      </c>
      <c r="K125" s="2">
        <f>G125-D125</f>
        <v/>
      </c>
      <c r="L125" s="2">
        <f>ABS(I125)</f>
        <v/>
      </c>
      <c r="M125" s="2">
        <f>IF(ISNUMBER(F125),ABS(F125-D125),"")</f>
        <v/>
      </c>
      <c r="N125" s="2">
        <f>ABS(K125)</f>
        <v/>
      </c>
      <c r="O125" s="3">
        <f>IF(D125=0,"",(E125-D125)/D125)</f>
        <v/>
      </c>
      <c r="P125" s="3">
        <f>IF(ISNUMBER(F125),IF(D125=0,"",(F125-D125)/D125),"")</f>
        <v/>
      </c>
      <c r="Q125" s="3">
        <f>IF(D125=0,"",(G125-D125)/D125)</f>
        <v/>
      </c>
    </row>
    <row r="126">
      <c r="A126" t="inlineStr">
        <is>
          <t>K/01/110gsm/1850mm</t>
        </is>
      </c>
      <c r="B126" t="inlineStr">
        <is>
          <t>SALM</t>
        </is>
      </c>
      <c r="C126" t="inlineStr">
        <is>
          <t>2026-09</t>
        </is>
      </c>
      <c r="D126" s="2" t="n">
        <v>35.475</v>
      </c>
      <c r="E126" s="2" t="n">
        <v>40</v>
      </c>
      <c r="F126" s="2" t="n">
        <v>42</v>
      </c>
      <c r="G126" s="2" t="n">
        <v>22.395</v>
      </c>
      <c r="H126">
        <f>ISNUMBER(F126)</f>
        <v/>
      </c>
      <c r="I126" s="2">
        <f>E126-D126</f>
        <v/>
      </c>
      <c r="J126" s="2">
        <f>IF(ISNUMBER(F126),F126-D126,"")</f>
        <v/>
      </c>
      <c r="K126" s="2">
        <f>G126-D126</f>
        <v/>
      </c>
      <c r="L126" s="2">
        <f>ABS(I126)</f>
        <v/>
      </c>
      <c r="M126" s="2">
        <f>IF(ISNUMBER(F126),ABS(F126-D126),"")</f>
        <v/>
      </c>
      <c r="N126" s="2">
        <f>ABS(K126)</f>
        <v/>
      </c>
      <c r="O126" s="3">
        <f>IF(D126=0,"",(E126-D126)/D126)</f>
        <v/>
      </c>
      <c r="P126" s="3">
        <f>IF(ISNUMBER(F126),IF(D126=0,"",(F126-D126)/D126),"")</f>
        <v/>
      </c>
      <c r="Q126" s="3">
        <f>IF(D126=0,"",(G126-D126)/D126)</f>
        <v/>
      </c>
    </row>
    <row r="127">
      <c r="A127" t="inlineStr">
        <is>
          <t>K/01/110gsm/1955mm</t>
        </is>
      </c>
      <c r="B127" t="inlineStr">
        <is>
          <t>SALM</t>
        </is>
      </c>
      <c r="C127" t="inlineStr">
        <is>
          <t>2026-09</t>
        </is>
      </c>
      <c r="D127" s="2" t="n">
        <v>53.165</v>
      </c>
      <c r="E127" s="2" t="n">
        <v>80</v>
      </c>
      <c r="F127" s="2" t="n">
        <v>38</v>
      </c>
      <c r="G127" s="2" t="n">
        <v>24.184</v>
      </c>
      <c r="H127">
        <f>ISNUMBER(F127)</f>
        <v/>
      </c>
      <c r="I127" s="2">
        <f>E127-D127</f>
        <v/>
      </c>
      <c r="J127" s="2">
        <f>IF(ISNUMBER(F127),F127-D127,"")</f>
        <v/>
      </c>
      <c r="K127" s="2">
        <f>G127-D127</f>
        <v/>
      </c>
      <c r="L127" s="2">
        <f>ABS(I127)</f>
        <v/>
      </c>
      <c r="M127" s="2">
        <f>IF(ISNUMBER(F127),ABS(F127-D127),"")</f>
        <v/>
      </c>
      <c r="N127" s="2">
        <f>ABS(K127)</f>
        <v/>
      </c>
      <c r="O127" s="3">
        <f>IF(D127=0,"",(E127-D127)/D127)</f>
        <v/>
      </c>
      <c r="P127" s="3">
        <f>IF(ISNUMBER(F127),IF(D127=0,"",(F127-D127)/D127),"")</f>
        <v/>
      </c>
      <c r="Q127" s="3">
        <f>IF(D127=0,"",(G127-D127)/D127)</f>
        <v/>
      </c>
    </row>
    <row r="128">
      <c r="A128" t="inlineStr">
        <is>
          <t>K/01/110gsm/2050mm</t>
        </is>
      </c>
      <c r="B128" t="inlineStr">
        <is>
          <t>SALM</t>
        </is>
      </c>
      <c r="C128" t="inlineStr">
        <is>
          <t>2026-09</t>
        </is>
      </c>
      <c r="D128" s="2" t="n">
        <v>18.785</v>
      </c>
      <c r="E128" s="2" t="n">
        <v>25</v>
      </c>
      <c r="F128" s="2" t="n">
        <v>73</v>
      </c>
      <c r="G128" s="2" t="n">
        <v>22.878</v>
      </c>
      <c r="H128">
        <f>ISNUMBER(F128)</f>
        <v/>
      </c>
      <c r="I128" s="2">
        <f>E128-D128</f>
        <v/>
      </c>
      <c r="J128" s="2">
        <f>IF(ISNUMBER(F128),F128-D128,"")</f>
        <v/>
      </c>
      <c r="K128" s="2">
        <f>G128-D128</f>
        <v/>
      </c>
      <c r="L128" s="2">
        <f>ABS(I128)</f>
        <v/>
      </c>
      <c r="M128" s="2">
        <f>IF(ISNUMBER(F128),ABS(F128-D128),"")</f>
        <v/>
      </c>
      <c r="N128" s="2">
        <f>ABS(K128)</f>
        <v/>
      </c>
      <c r="O128" s="3">
        <f>IF(D128=0,"",(E128-D128)/D128)</f>
        <v/>
      </c>
      <c r="P128" s="3">
        <f>IF(ISNUMBER(F128),IF(D128=0,"",(F128-D128)/D128),"")</f>
        <v/>
      </c>
      <c r="Q128" s="3">
        <f>IF(D128=0,"",(G128-D128)/D128)</f>
        <v/>
      </c>
    </row>
    <row r="129">
      <c r="A129" t="inlineStr">
        <is>
          <t>K/01/110gsm/2150mm</t>
        </is>
      </c>
      <c r="B129" t="inlineStr">
        <is>
          <t>SALM</t>
        </is>
      </c>
      <c r="C129" t="inlineStr">
        <is>
          <t>2026-09</t>
        </is>
      </c>
      <c r="D129" s="2" t="n">
        <v>31.8</v>
      </c>
      <c r="E129" s="2" t="n">
        <v>35</v>
      </c>
      <c r="F129" s="2" t="n">
        <v>44</v>
      </c>
      <c r="G129" s="2" t="n">
        <v>19.533</v>
      </c>
      <c r="H129">
        <f>ISNUMBER(F129)</f>
        <v/>
      </c>
      <c r="I129" s="2">
        <f>E129-D129</f>
        <v/>
      </c>
      <c r="J129" s="2">
        <f>IF(ISNUMBER(F129),F129-D129,"")</f>
        <v/>
      </c>
      <c r="K129" s="2">
        <f>G129-D129</f>
        <v/>
      </c>
      <c r="L129" s="2">
        <f>ABS(I129)</f>
        <v/>
      </c>
      <c r="M129" s="2">
        <f>IF(ISNUMBER(F129),ABS(F129-D129),"")</f>
        <v/>
      </c>
      <c r="N129" s="2">
        <f>ABS(K129)</f>
        <v/>
      </c>
      <c r="O129" s="3">
        <f>IF(D129=0,"",(E129-D129)/D129)</f>
        <v/>
      </c>
      <c r="P129" s="3">
        <f>IF(ISNUMBER(F129),IF(D129=0,"",(F129-D129)/D129),"")</f>
        <v/>
      </c>
      <c r="Q129" s="3">
        <f>IF(D129=0,"",(G129-D129)/D129)</f>
        <v/>
      </c>
    </row>
    <row r="130">
      <c r="A130" t="inlineStr">
        <is>
          <t>K/01/110gsm/2250mm</t>
        </is>
      </c>
      <c r="B130" t="inlineStr">
        <is>
          <t>SALM</t>
        </is>
      </c>
      <c r="C130" t="inlineStr">
        <is>
          <t>2026-09</t>
        </is>
      </c>
      <c r="D130" s="2" t="n">
        <v>12.14</v>
      </c>
      <c r="E130" s="2" t="n">
        <v>20</v>
      </c>
      <c r="F130" s="2" t="n">
        <v>30</v>
      </c>
      <c r="G130" s="2" t="n">
        <v>14.259</v>
      </c>
      <c r="H130">
        <f>ISNUMBER(F130)</f>
        <v/>
      </c>
      <c r="I130" s="2">
        <f>E130-D130</f>
        <v/>
      </c>
      <c r="J130" s="2">
        <f>IF(ISNUMBER(F130),F130-D130,"")</f>
        <v/>
      </c>
      <c r="K130" s="2">
        <f>G130-D130</f>
        <v/>
      </c>
      <c r="L130" s="2">
        <f>ABS(I130)</f>
        <v/>
      </c>
      <c r="M130" s="2">
        <f>IF(ISNUMBER(F130),ABS(F130-D130),"")</f>
        <v/>
      </c>
      <c r="N130" s="2">
        <f>ABS(K130)</f>
        <v/>
      </c>
      <c r="O130" s="3">
        <f>IF(D130=0,"",(E130-D130)/D130)</f>
        <v/>
      </c>
      <c r="P130" s="3">
        <f>IF(ISNUMBER(F130),IF(D130=0,"",(F130-D130)/D130),"")</f>
        <v/>
      </c>
      <c r="Q130" s="3">
        <f>IF(D130=0,"",(G130-D130)/D130)</f>
        <v/>
      </c>
    </row>
    <row r="131">
      <c r="A131" t="inlineStr">
        <is>
          <t>K/01/110gsm/2450mm</t>
        </is>
      </c>
      <c r="B131" t="inlineStr">
        <is>
          <t>SALM</t>
        </is>
      </c>
      <c r="C131" t="inlineStr">
        <is>
          <t>2026-09</t>
        </is>
      </c>
      <c r="D131" s="2" t="n">
        <v>12.37</v>
      </c>
      <c r="E131" s="2" t="n">
        <v>20</v>
      </c>
      <c r="F131" s="2" t="n">
        <v>20</v>
      </c>
      <c r="G131" s="2" t="n">
        <v>17.773</v>
      </c>
      <c r="H131">
        <f>ISNUMBER(F131)</f>
        <v/>
      </c>
      <c r="I131" s="2">
        <f>E131-D131</f>
        <v/>
      </c>
      <c r="J131" s="2">
        <f>IF(ISNUMBER(F131),F131-D131,"")</f>
        <v/>
      </c>
      <c r="K131" s="2">
        <f>G131-D131</f>
        <v/>
      </c>
      <c r="L131" s="2">
        <f>ABS(I131)</f>
        <v/>
      </c>
      <c r="M131" s="2">
        <f>IF(ISNUMBER(F131),ABS(F131-D131),"")</f>
        <v/>
      </c>
      <c r="N131" s="2">
        <f>ABS(K131)</f>
        <v/>
      </c>
      <c r="O131" s="3">
        <f>IF(D131=0,"",(E131-D131)/D131)</f>
        <v/>
      </c>
      <c r="P131" s="3">
        <f>IF(ISNUMBER(F131),IF(D131=0,"",(F131-D131)/D131),"")</f>
        <v/>
      </c>
      <c r="Q131" s="3">
        <f>IF(D131=0,"",(G131-D131)/D131)</f>
        <v/>
      </c>
    </row>
    <row r="132">
      <c r="A132" t="inlineStr">
        <is>
          <t>K/01/160gsm/1800mm</t>
        </is>
      </c>
      <c r="B132" t="inlineStr">
        <is>
          <t>SALM</t>
        </is>
      </c>
      <c r="C132" t="inlineStr">
        <is>
          <t>2026-09</t>
        </is>
      </c>
      <c r="D132" s="2" t="n">
        <v>49.829</v>
      </c>
      <c r="E132" s="2" t="n">
        <v>80</v>
      </c>
      <c r="F132" s="2" t="n">
        <v>41</v>
      </c>
      <c r="G132" s="2" t="n">
        <v>18.814</v>
      </c>
      <c r="H132">
        <f>ISNUMBER(F132)</f>
        <v/>
      </c>
      <c r="I132" s="2">
        <f>E132-D132</f>
        <v/>
      </c>
      <c r="J132" s="2">
        <f>IF(ISNUMBER(F132),F132-D132,"")</f>
        <v/>
      </c>
      <c r="K132" s="2">
        <f>G132-D132</f>
        <v/>
      </c>
      <c r="L132" s="2">
        <f>ABS(I132)</f>
        <v/>
      </c>
      <c r="M132" s="2">
        <f>IF(ISNUMBER(F132),ABS(F132-D132),"")</f>
        <v/>
      </c>
      <c r="N132" s="2">
        <f>ABS(K132)</f>
        <v/>
      </c>
      <c r="O132" s="3">
        <f>IF(D132=0,"",(E132-D132)/D132)</f>
        <v/>
      </c>
      <c r="P132" s="3">
        <f>IF(ISNUMBER(F132),IF(D132=0,"",(F132-D132)/D132),"")</f>
        <v/>
      </c>
      <c r="Q132" s="3">
        <f>IF(D132=0,"",(G132-D132)/D132)</f>
        <v/>
      </c>
    </row>
    <row r="133">
      <c r="A133" t="inlineStr">
        <is>
          <t>K/01/160gsm/1850mm</t>
        </is>
      </c>
      <c r="B133" t="inlineStr">
        <is>
          <t>SALM</t>
        </is>
      </c>
      <c r="C133" t="inlineStr">
        <is>
          <t>2026-09</t>
        </is>
      </c>
      <c r="D133" s="2" t="n">
        <v>48.673</v>
      </c>
      <c r="E133" s="2" t="n">
        <v>110</v>
      </c>
      <c r="F133" s="2" t="n">
        <v>79</v>
      </c>
      <c r="G133" s="2" t="n">
        <v>28.075</v>
      </c>
      <c r="H133">
        <f>ISNUMBER(F133)</f>
        <v/>
      </c>
      <c r="I133" s="2">
        <f>E133-D133</f>
        <v/>
      </c>
      <c r="J133" s="2">
        <f>IF(ISNUMBER(F133),F133-D133,"")</f>
        <v/>
      </c>
      <c r="K133" s="2">
        <f>G133-D133</f>
        <v/>
      </c>
      <c r="L133" s="2">
        <f>ABS(I133)</f>
        <v/>
      </c>
      <c r="M133" s="2">
        <f>IF(ISNUMBER(F133),ABS(F133-D133),"")</f>
        <v/>
      </c>
      <c r="N133" s="2">
        <f>ABS(K133)</f>
        <v/>
      </c>
      <c r="O133" s="3">
        <f>IF(D133=0,"",(E133-D133)/D133)</f>
        <v/>
      </c>
      <c r="P133" s="3">
        <f>IF(ISNUMBER(F133),IF(D133=0,"",(F133-D133)/D133),"")</f>
        <v/>
      </c>
      <c r="Q133" s="3">
        <f>IF(D133=0,"",(G133-D133)/D133)</f>
        <v/>
      </c>
    </row>
    <row r="134">
      <c r="A134" t="inlineStr">
        <is>
          <t>K/01/160gsm/1955mm</t>
        </is>
      </c>
      <c r="B134" t="inlineStr">
        <is>
          <t>SALM</t>
        </is>
      </c>
      <c r="C134" t="inlineStr">
        <is>
          <t>2026-09</t>
        </is>
      </c>
      <c r="D134" s="2" t="n">
        <v>75.813</v>
      </c>
      <c r="E134" s="2" t="n">
        <v>80</v>
      </c>
      <c r="F134" s="2" t="n">
        <v>88</v>
      </c>
      <c r="G134" s="2" t="n">
        <v>49.235</v>
      </c>
      <c r="H134">
        <f>ISNUMBER(F134)</f>
        <v/>
      </c>
      <c r="I134" s="2">
        <f>E134-D134</f>
        <v/>
      </c>
      <c r="J134" s="2">
        <f>IF(ISNUMBER(F134),F134-D134,"")</f>
        <v/>
      </c>
      <c r="K134" s="2">
        <f>G134-D134</f>
        <v/>
      </c>
      <c r="L134" s="2">
        <f>ABS(I134)</f>
        <v/>
      </c>
      <c r="M134" s="2">
        <f>IF(ISNUMBER(F134),ABS(F134-D134),"")</f>
        <v/>
      </c>
      <c r="N134" s="2">
        <f>ABS(K134)</f>
        <v/>
      </c>
      <c r="O134" s="3">
        <f>IF(D134=0,"",(E134-D134)/D134)</f>
        <v/>
      </c>
      <c r="P134" s="3">
        <f>IF(ISNUMBER(F134),IF(D134=0,"",(F134-D134)/D134),"")</f>
        <v/>
      </c>
      <c r="Q134" s="3">
        <f>IF(D134=0,"",(G134-D134)/D134)</f>
        <v/>
      </c>
    </row>
    <row r="135">
      <c r="A135" t="inlineStr">
        <is>
          <t>K/01/160gsm/2250mm</t>
        </is>
      </c>
      <c r="B135" t="inlineStr">
        <is>
          <t>SALM</t>
        </is>
      </c>
      <c r="C135" t="inlineStr">
        <is>
          <t>2026-09</t>
        </is>
      </c>
      <c r="D135" s="2" t="n">
        <v>17.654</v>
      </c>
      <c r="E135" s="2" t="n">
        <v>25</v>
      </c>
      <c r="F135" s="2" t="n">
        <v>36</v>
      </c>
      <c r="G135" s="2" t="n">
        <v>18.988</v>
      </c>
      <c r="H135">
        <f>ISNUMBER(F135)</f>
        <v/>
      </c>
      <c r="I135" s="2">
        <f>E135-D135</f>
        <v/>
      </c>
      <c r="J135" s="2">
        <f>IF(ISNUMBER(F135),F135-D135,"")</f>
        <v/>
      </c>
      <c r="K135" s="2">
        <f>G135-D135</f>
        <v/>
      </c>
      <c r="L135" s="2">
        <f>ABS(I135)</f>
        <v/>
      </c>
      <c r="M135" s="2">
        <f>IF(ISNUMBER(F135),ABS(F135-D135),"")</f>
        <v/>
      </c>
      <c r="N135" s="2">
        <f>ABS(K135)</f>
        <v/>
      </c>
      <c r="O135" s="3">
        <f>IF(D135=0,"",(E135-D135)/D135)</f>
        <v/>
      </c>
      <c r="P135" s="3">
        <f>IF(ISNUMBER(F135),IF(D135=0,"",(F135-D135)/D135),"")</f>
        <v/>
      </c>
      <c r="Q135" s="3">
        <f>IF(D135=0,"",(G135-D135)/D135)</f>
        <v/>
      </c>
    </row>
    <row r="136">
      <c r="A136" t="inlineStr">
        <is>
          <t>K/01/160gsm/2370mm</t>
        </is>
      </c>
      <c r="B136" t="inlineStr">
        <is>
          <t>SALM</t>
        </is>
      </c>
      <c r="C136" t="inlineStr">
        <is>
          <t>2026-09</t>
        </is>
      </c>
      <c r="D136" s="2" t="n">
        <v>11.783</v>
      </c>
      <c r="E136" s="2" t="n">
        <v>30</v>
      </c>
      <c r="F136" s="2" t="n">
        <v>22</v>
      </c>
      <c r="G136" s="2" t="n">
        <v>43.741</v>
      </c>
      <c r="H136">
        <f>ISNUMBER(F136)</f>
        <v/>
      </c>
      <c r="I136" s="2">
        <f>E136-D136</f>
        <v/>
      </c>
      <c r="J136" s="2">
        <f>IF(ISNUMBER(F136),F136-D136,"")</f>
        <v/>
      </c>
      <c r="K136" s="2">
        <f>G136-D136</f>
        <v/>
      </c>
      <c r="L136" s="2">
        <f>ABS(I136)</f>
        <v/>
      </c>
      <c r="M136" s="2">
        <f>IF(ISNUMBER(F136),ABS(F136-D136),"")</f>
        <v/>
      </c>
      <c r="N136" s="2">
        <f>ABS(K136)</f>
        <v/>
      </c>
      <c r="O136" s="3">
        <f>IF(D136=0,"",(E136-D136)/D136)</f>
        <v/>
      </c>
      <c r="P136" s="3">
        <f>IF(ISNUMBER(F136),IF(D136=0,"",(F136-D136)/D136),"")</f>
        <v/>
      </c>
      <c r="Q136" s="3">
        <f>IF(D136=0,"",(G136-D136)/D136)</f>
        <v/>
      </c>
    </row>
    <row r="137">
      <c r="A137" t="inlineStr">
        <is>
          <t>K/01/160gsm/2450mm</t>
        </is>
      </c>
      <c r="B137" t="inlineStr">
        <is>
          <t>SALM</t>
        </is>
      </c>
      <c r="C137" t="inlineStr">
        <is>
          <t>2026-09</t>
        </is>
      </c>
      <c r="D137" s="2" t="n">
        <v>20.216</v>
      </c>
      <c r="E137" s="2" t="n">
        <v>20</v>
      </c>
      <c r="F137" s="2" t="n">
        <v>26</v>
      </c>
      <c r="G137" s="2" t="n">
        <v>28.25</v>
      </c>
      <c r="H137">
        <f>ISNUMBER(F137)</f>
        <v/>
      </c>
      <c r="I137" s="2">
        <f>E137-D137</f>
        <v/>
      </c>
      <c r="J137" s="2">
        <f>IF(ISNUMBER(F137),F137-D137,"")</f>
        <v/>
      </c>
      <c r="K137" s="2">
        <f>G137-D137</f>
        <v/>
      </c>
      <c r="L137" s="2">
        <f>ABS(I137)</f>
        <v/>
      </c>
      <c r="M137" s="2">
        <f>IF(ISNUMBER(F137),ABS(F137-D137),"")</f>
        <v/>
      </c>
      <c r="N137" s="2">
        <f>ABS(K137)</f>
        <v/>
      </c>
      <c r="O137" s="3">
        <f>IF(D137=0,"",(E137-D137)/D137)</f>
        <v/>
      </c>
      <c r="P137" s="3">
        <f>IF(ISNUMBER(F137),IF(D137=0,"",(F137-D137)/D137),"")</f>
        <v/>
      </c>
      <c r="Q137" s="3">
        <f>IF(D137=0,"",(G137-D137)/D137)</f>
        <v/>
      </c>
    </row>
    <row r="138">
      <c r="A138" t="inlineStr">
        <is>
          <t>K/01/275gsm/1955mm</t>
        </is>
      </c>
      <c r="B138" t="inlineStr">
        <is>
          <t>SALM</t>
        </is>
      </c>
      <c r="C138" t="inlineStr">
        <is>
          <t>2026-09</t>
        </is>
      </c>
      <c r="D138" s="2" t="n">
        <v>91.655</v>
      </c>
      <c r="E138" s="2" t="n">
        <v>60</v>
      </c>
      <c r="F138" s="2" t="n">
        <v>56</v>
      </c>
      <c r="G138" s="2" t="n">
        <v>44.732</v>
      </c>
      <c r="H138">
        <f>ISNUMBER(F138)</f>
        <v/>
      </c>
      <c r="I138" s="2">
        <f>E138-D138</f>
        <v/>
      </c>
      <c r="J138" s="2">
        <f>IF(ISNUMBER(F138),F138-D138,"")</f>
        <v/>
      </c>
      <c r="K138" s="2">
        <f>G138-D138</f>
        <v/>
      </c>
      <c r="L138" s="2">
        <f>ABS(I138)</f>
        <v/>
      </c>
      <c r="M138" s="2">
        <f>IF(ISNUMBER(F138),ABS(F138-D138),"")</f>
        <v/>
      </c>
      <c r="N138" s="2">
        <f>ABS(K138)</f>
        <v/>
      </c>
      <c r="O138" s="3">
        <f>IF(D138=0,"",(E138-D138)/D138)</f>
        <v/>
      </c>
      <c r="P138" s="3">
        <f>IF(ISNUMBER(F138),IF(D138=0,"",(F138-D138)/D138),"")</f>
        <v/>
      </c>
      <c r="Q138" s="3">
        <f>IF(D138=0,"",(G138-D138)/D138)</f>
        <v/>
      </c>
    </row>
    <row r="139">
      <c r="A139" t="inlineStr">
        <is>
          <t>KW2/01/115gsm/1850mm</t>
        </is>
      </c>
      <c r="B139" t="inlineStr">
        <is>
          <t>SALM</t>
        </is>
      </c>
      <c r="C139" t="inlineStr">
        <is>
          <t>2026-09</t>
        </is>
      </c>
      <c r="D139" s="2" t="n">
        <v>18.527</v>
      </c>
      <c r="E139" s="2" t="n">
        <v>35</v>
      </c>
      <c r="F139" s="2" t="n">
        <v>42</v>
      </c>
      <c r="G139" s="2" t="n">
        <v>15.335</v>
      </c>
      <c r="H139">
        <f>ISNUMBER(F139)</f>
        <v/>
      </c>
      <c r="I139" s="2">
        <f>E139-D139</f>
        <v/>
      </c>
      <c r="J139" s="2">
        <f>IF(ISNUMBER(F139),F139-D139,"")</f>
        <v/>
      </c>
      <c r="K139" s="2">
        <f>G139-D139</f>
        <v/>
      </c>
      <c r="L139" s="2">
        <f>ABS(I139)</f>
        <v/>
      </c>
      <c r="M139" s="2">
        <f>IF(ISNUMBER(F139),ABS(F139-D139),"")</f>
        <v/>
      </c>
      <c r="N139" s="2">
        <f>ABS(K139)</f>
        <v/>
      </c>
      <c r="O139" s="3">
        <f>IF(D139=0,"",(E139-D139)/D139)</f>
        <v/>
      </c>
      <c r="P139" s="3">
        <f>IF(ISNUMBER(F139),IF(D139=0,"",(F139-D139)/D139),"")</f>
        <v/>
      </c>
      <c r="Q139" s="3">
        <f>IF(D139=0,"",(G139-D139)/D139)</f>
        <v/>
      </c>
    </row>
    <row r="140">
      <c r="A140" t="inlineStr">
        <is>
          <t>SF1/01/160gsm/1790mm</t>
        </is>
      </c>
      <c r="B140" t="inlineStr">
        <is>
          <t>SALM</t>
        </is>
      </c>
      <c r="C140" t="inlineStr">
        <is>
          <t>2026-09</t>
        </is>
      </c>
      <c r="D140" s="2" t="n">
        <v>80.639</v>
      </c>
      <c r="E140" s="2" t="n">
        <v>70</v>
      </c>
      <c r="F140" s="2" t="n">
        <v>57</v>
      </c>
      <c r="G140" s="2" t="n">
        <v>26.139</v>
      </c>
      <c r="H140">
        <f>ISNUMBER(F140)</f>
        <v/>
      </c>
      <c r="I140" s="2">
        <f>E140-D140</f>
        <v/>
      </c>
      <c r="J140" s="2">
        <f>IF(ISNUMBER(F140),F140-D140,"")</f>
        <v/>
      </c>
      <c r="K140" s="2">
        <f>G140-D140</f>
        <v/>
      </c>
      <c r="L140" s="2">
        <f>ABS(I140)</f>
        <v/>
      </c>
      <c r="M140" s="2">
        <f>IF(ISNUMBER(F140),ABS(F140-D140),"")</f>
        <v/>
      </c>
      <c r="N140" s="2">
        <f>ABS(K140)</f>
        <v/>
      </c>
      <c r="O140" s="3">
        <f>IF(D140=0,"",(E140-D140)/D140)</f>
        <v/>
      </c>
      <c r="P140" s="3">
        <f>IF(ISNUMBER(F140),IF(D140=0,"",(F140-D140)/D140),"")</f>
        <v/>
      </c>
      <c r="Q140" s="3">
        <f>IF(D140=0,"",(G140-D140)/D140)</f>
        <v/>
      </c>
    </row>
    <row r="141">
      <c r="A141" t="inlineStr">
        <is>
          <t>SF1/01/160gsm/1850mm</t>
        </is>
      </c>
      <c r="B141" t="inlineStr">
        <is>
          <t>SALM</t>
        </is>
      </c>
      <c r="C141" t="inlineStr">
        <is>
          <t>2026-09</t>
        </is>
      </c>
      <c r="D141" s="2" t="n">
        <v>99.672</v>
      </c>
      <c r="E141" s="2" t="n">
        <v>120</v>
      </c>
      <c r="F141" s="2" t="n">
        <v>127</v>
      </c>
      <c r="G141" s="2" t="n">
        <v>104.682</v>
      </c>
      <c r="H141">
        <f>ISNUMBER(F141)</f>
        <v/>
      </c>
      <c r="I141" s="2">
        <f>E141-D141</f>
        <v/>
      </c>
      <c r="J141" s="2">
        <f>IF(ISNUMBER(F141),F141-D141,"")</f>
        <v/>
      </c>
      <c r="K141" s="2">
        <f>G141-D141</f>
        <v/>
      </c>
      <c r="L141" s="2">
        <f>ABS(I141)</f>
        <v/>
      </c>
      <c r="M141" s="2">
        <f>IF(ISNUMBER(F141),ABS(F141-D141),"")</f>
        <v/>
      </c>
      <c r="N141" s="2">
        <f>ABS(K141)</f>
        <v/>
      </c>
      <c r="O141" s="3">
        <f>IF(D141=0,"",(E141-D141)/D141)</f>
        <v/>
      </c>
      <c r="P141" s="3">
        <f>IF(ISNUMBER(F141),IF(D141=0,"",(F141-D141)/D141),"")</f>
        <v/>
      </c>
      <c r="Q141" s="3">
        <f>IF(D141=0,"",(G141-D141)/D141)</f>
        <v/>
      </c>
    </row>
    <row r="142">
      <c r="A142" t="inlineStr">
        <is>
          <t>SF1/01/160gsm/1955mm</t>
        </is>
      </c>
      <c r="B142" t="inlineStr">
        <is>
          <t>SALM</t>
        </is>
      </c>
      <c r="C142" t="inlineStr">
        <is>
          <t>2026-09</t>
        </is>
      </c>
      <c r="D142" s="2" t="n">
        <v>227.553</v>
      </c>
      <c r="E142" s="2" t="n">
        <v>200</v>
      </c>
      <c r="F142" s="2" t="n">
        <v>225</v>
      </c>
      <c r="G142" s="2" t="n">
        <v>123.602</v>
      </c>
      <c r="H142">
        <f>ISNUMBER(F142)</f>
        <v/>
      </c>
      <c r="I142" s="2">
        <f>E142-D142</f>
        <v/>
      </c>
      <c r="J142" s="2">
        <f>IF(ISNUMBER(F142),F142-D142,"")</f>
        <v/>
      </c>
      <c r="K142" s="2">
        <f>G142-D142</f>
        <v/>
      </c>
      <c r="L142" s="2">
        <f>ABS(I142)</f>
        <v/>
      </c>
      <c r="M142" s="2">
        <f>IF(ISNUMBER(F142),ABS(F142-D142),"")</f>
        <v/>
      </c>
      <c r="N142" s="2">
        <f>ABS(K142)</f>
        <v/>
      </c>
      <c r="O142" s="3">
        <f>IF(D142=0,"",(E142-D142)/D142)</f>
        <v/>
      </c>
      <c r="P142" s="3">
        <f>IF(ISNUMBER(F142),IF(D142=0,"",(F142-D142)/D142),"")</f>
        <v/>
      </c>
      <c r="Q142" s="3">
        <f>IF(D142=0,"",(G142-D142)/D142)</f>
        <v/>
      </c>
    </row>
    <row r="143">
      <c r="A143" t="inlineStr">
        <is>
          <t>SF1/01/160gsm/2040mm</t>
        </is>
      </c>
      <c r="B143" t="inlineStr">
        <is>
          <t>SALM</t>
        </is>
      </c>
      <c r="C143" t="inlineStr">
        <is>
          <t>2026-09</t>
        </is>
      </c>
      <c r="D143" s="2" t="n">
        <v>150.012</v>
      </c>
      <c r="E143" s="2" t="n">
        <v>130</v>
      </c>
      <c r="F143" s="2" t="n">
        <v>302</v>
      </c>
      <c r="G143" s="2" t="n">
        <v>85.664</v>
      </c>
      <c r="H143">
        <f>ISNUMBER(F143)</f>
        <v/>
      </c>
      <c r="I143" s="2">
        <f>E143-D143</f>
        <v/>
      </c>
      <c r="J143" s="2">
        <f>IF(ISNUMBER(F143),F143-D143,"")</f>
        <v/>
      </c>
      <c r="K143" s="2">
        <f>G143-D143</f>
        <v/>
      </c>
      <c r="L143" s="2">
        <f>ABS(I143)</f>
        <v/>
      </c>
      <c r="M143" s="2">
        <f>IF(ISNUMBER(F143),ABS(F143-D143),"")</f>
        <v/>
      </c>
      <c r="N143" s="2">
        <f>ABS(K143)</f>
        <v/>
      </c>
      <c r="O143" s="3">
        <f>IF(D143=0,"",(E143-D143)/D143)</f>
        <v/>
      </c>
      <c r="P143" s="3">
        <f>IF(ISNUMBER(F143),IF(D143=0,"",(F143-D143)/D143),"")</f>
        <v/>
      </c>
      <c r="Q143" s="3">
        <f>IF(D143=0,"",(G143-D143)/D143)</f>
        <v/>
      </c>
    </row>
    <row r="144">
      <c r="A144" t="inlineStr">
        <is>
          <t>SF1/01/160gsm/2150mm</t>
        </is>
      </c>
      <c r="B144" t="inlineStr">
        <is>
          <t>SALM</t>
        </is>
      </c>
      <c r="C144" t="inlineStr">
        <is>
          <t>2026-09</t>
        </is>
      </c>
      <c r="D144" s="2" t="n">
        <v>136.016</v>
      </c>
      <c r="E144" s="2" t="n">
        <v>140</v>
      </c>
      <c r="F144" s="2" t="n">
        <v>255</v>
      </c>
      <c r="G144" s="2" t="n">
        <v>76.435</v>
      </c>
      <c r="H144">
        <f>ISNUMBER(F144)</f>
        <v/>
      </c>
      <c r="I144" s="2">
        <f>E144-D144</f>
        <v/>
      </c>
      <c r="J144" s="2">
        <f>IF(ISNUMBER(F144),F144-D144,"")</f>
        <v/>
      </c>
      <c r="K144" s="2">
        <f>G144-D144</f>
        <v/>
      </c>
      <c r="L144" s="2">
        <f>ABS(I144)</f>
        <v/>
      </c>
      <c r="M144" s="2">
        <f>IF(ISNUMBER(F144),ABS(F144-D144),"")</f>
        <v/>
      </c>
      <c r="N144" s="2">
        <f>ABS(K144)</f>
        <v/>
      </c>
      <c r="O144" s="3">
        <f>IF(D144=0,"",(E144-D144)/D144)</f>
        <v/>
      </c>
      <c r="P144" s="3">
        <f>IF(ISNUMBER(F144),IF(D144=0,"",(F144-D144)/D144),"")</f>
        <v/>
      </c>
      <c r="Q144" s="3">
        <f>IF(D144=0,"",(G144-D144)/D144)</f>
        <v/>
      </c>
    </row>
    <row r="145">
      <c r="A145" t="inlineStr">
        <is>
          <t>SF1/01/160gsm/2250mm</t>
        </is>
      </c>
      <c r="B145" t="inlineStr">
        <is>
          <t>SALM</t>
        </is>
      </c>
      <c r="C145" t="inlineStr">
        <is>
          <t>2026-09</t>
        </is>
      </c>
      <c r="D145" s="2" t="n">
        <v>66.989</v>
      </c>
      <c r="E145" s="2" t="n">
        <v>70</v>
      </c>
      <c r="F145" s="2" t="n">
        <v>105</v>
      </c>
      <c r="G145" s="2" t="n">
        <v>49.954</v>
      </c>
      <c r="H145">
        <f>ISNUMBER(F145)</f>
        <v/>
      </c>
      <c r="I145" s="2">
        <f>E145-D145</f>
        <v/>
      </c>
      <c r="J145" s="2">
        <f>IF(ISNUMBER(F145),F145-D145,"")</f>
        <v/>
      </c>
      <c r="K145" s="2">
        <f>G145-D145</f>
        <v/>
      </c>
      <c r="L145" s="2">
        <f>ABS(I145)</f>
        <v/>
      </c>
      <c r="M145" s="2">
        <f>IF(ISNUMBER(F145),ABS(F145-D145),"")</f>
        <v/>
      </c>
      <c r="N145" s="2">
        <f>ABS(K145)</f>
        <v/>
      </c>
      <c r="O145" s="3">
        <f>IF(D145=0,"",(E145-D145)/D145)</f>
        <v/>
      </c>
      <c r="P145" s="3">
        <f>IF(ISNUMBER(F145),IF(D145=0,"",(F145-D145)/D145),"")</f>
        <v/>
      </c>
      <c r="Q145" s="3">
        <f>IF(D145=0,"",(G145-D145)/D145)</f>
        <v/>
      </c>
    </row>
    <row r="146">
      <c r="A146" t="inlineStr">
        <is>
          <t>SF1/01/160gsm/2370mm</t>
        </is>
      </c>
      <c r="B146" t="inlineStr">
        <is>
          <t>SALM</t>
        </is>
      </c>
      <c r="C146" t="inlineStr">
        <is>
          <t>2026-09</t>
        </is>
      </c>
      <c r="D146" s="2" t="n">
        <v>62.817</v>
      </c>
      <c r="E146" s="2" t="n">
        <v>80</v>
      </c>
      <c r="F146" s="2" t="n">
        <v>76</v>
      </c>
      <c r="G146" s="2" t="n">
        <v>99.45999999999999</v>
      </c>
      <c r="H146">
        <f>ISNUMBER(F146)</f>
        <v/>
      </c>
      <c r="I146" s="2">
        <f>E146-D146</f>
        <v/>
      </c>
      <c r="J146" s="2">
        <f>IF(ISNUMBER(F146),F146-D146,"")</f>
        <v/>
      </c>
      <c r="K146" s="2">
        <f>G146-D146</f>
        <v/>
      </c>
      <c r="L146" s="2">
        <f>ABS(I146)</f>
        <v/>
      </c>
      <c r="M146" s="2">
        <f>IF(ISNUMBER(F146),ABS(F146-D146),"")</f>
        <v/>
      </c>
      <c r="N146" s="2">
        <f>ABS(K146)</f>
        <v/>
      </c>
      <c r="O146" s="3">
        <f>IF(D146=0,"",(E146-D146)/D146)</f>
        <v/>
      </c>
      <c r="P146" s="3">
        <f>IF(ISNUMBER(F146),IF(D146=0,"",(F146-D146)/D146),"")</f>
        <v/>
      </c>
      <c r="Q146" s="3">
        <f>IF(D146=0,"",(G146-D146)/D146)</f>
        <v/>
      </c>
    </row>
    <row r="147">
      <c r="A147" t="inlineStr">
        <is>
          <t>SF1/01/160gsm/2440mm</t>
        </is>
      </c>
      <c r="B147" t="inlineStr">
        <is>
          <t>SALM</t>
        </is>
      </c>
      <c r="C147" t="inlineStr">
        <is>
          <t>2026-09</t>
        </is>
      </c>
      <c r="D147" s="2" t="n">
        <v>75.754</v>
      </c>
      <c r="E147" s="2" t="n">
        <v>60</v>
      </c>
      <c r="F147" s="2" t="n">
        <v>73</v>
      </c>
      <c r="G147" s="2" t="n">
        <v>68.962</v>
      </c>
      <c r="H147">
        <f>ISNUMBER(F147)</f>
        <v/>
      </c>
      <c r="I147" s="2">
        <f>E147-D147</f>
        <v/>
      </c>
      <c r="J147" s="2">
        <f>IF(ISNUMBER(F147),F147-D147,"")</f>
        <v/>
      </c>
      <c r="K147" s="2">
        <f>G147-D147</f>
        <v/>
      </c>
      <c r="L147" s="2">
        <f>ABS(I147)</f>
        <v/>
      </c>
      <c r="M147" s="2">
        <f>IF(ISNUMBER(F147),ABS(F147-D147),"")</f>
        <v/>
      </c>
      <c r="N147" s="2">
        <f>ABS(K147)</f>
        <v/>
      </c>
      <c r="O147" s="3">
        <f>IF(D147=0,"",(E147-D147)/D147)</f>
        <v/>
      </c>
      <c r="P147" s="3">
        <f>IF(ISNUMBER(F147),IF(D147=0,"",(F147-D147)/D147),"")</f>
        <v/>
      </c>
      <c r="Q147" s="3">
        <f>IF(D147=0,"",(G147-D147)/D147)</f>
        <v/>
      </c>
    </row>
    <row r="148">
      <c r="A148" t="inlineStr">
        <is>
          <t>TSL/01/80gsm/2250mm</t>
        </is>
      </c>
      <c r="B148" t="inlineStr">
        <is>
          <t>SALM</t>
        </is>
      </c>
      <c r="C148" t="inlineStr">
        <is>
          <t>2026-09</t>
        </is>
      </c>
      <c r="D148" s="2" t="n">
        <v>0</v>
      </c>
      <c r="E148" s="2" t="n">
        <v>20</v>
      </c>
      <c r="F148" s="4" t="inlineStr">
        <is>
          <t>faltante</t>
        </is>
      </c>
      <c r="G148" s="2" t="n">
        <v>23.254</v>
      </c>
      <c r="H148">
        <f>ISNUMBER(F148)</f>
        <v/>
      </c>
      <c r="I148" s="2">
        <f>E148-D148</f>
        <v/>
      </c>
      <c r="J148" s="2">
        <f>IF(ISNUMBER(F148),F148-D148,"")</f>
        <v/>
      </c>
      <c r="K148" s="2">
        <f>G148-D148</f>
        <v/>
      </c>
      <c r="L148" s="2">
        <f>ABS(I148)</f>
        <v/>
      </c>
      <c r="M148" s="2">
        <f>IF(ISNUMBER(F148),ABS(F148-D148),"")</f>
        <v/>
      </c>
      <c r="N148" s="2">
        <f>ABS(K148)</f>
        <v/>
      </c>
      <c r="O148" s="3">
        <f>IF(D148=0,"",(E148-D148)/D148)</f>
        <v/>
      </c>
      <c r="P148" s="3">
        <f>IF(ISNUMBER(F148),IF(D148=0,"",(F148-D148)/D148),"")</f>
        <v/>
      </c>
      <c r="Q148" s="3">
        <f>IF(D148=0,"",(G148-D148)/D148)</f>
        <v/>
      </c>
    </row>
    <row r="149">
      <c r="A149" t="inlineStr">
        <is>
          <t>HP2/01/105gsm/2090mm</t>
        </is>
      </c>
      <c r="B149" t="inlineStr">
        <is>
          <t>SBUR</t>
        </is>
      </c>
      <c r="C149" t="inlineStr">
        <is>
          <t>2026-09</t>
        </is>
      </c>
      <c r="D149" s="2" t="n">
        <v>13.184</v>
      </c>
      <c r="E149" s="2" t="n">
        <v>18</v>
      </c>
      <c r="F149" s="2" t="n">
        <v>42</v>
      </c>
      <c r="G149" s="2" t="n">
        <v>26.102</v>
      </c>
      <c r="H149">
        <f>ISNUMBER(F149)</f>
        <v/>
      </c>
      <c r="I149" s="2">
        <f>E149-D149</f>
        <v/>
      </c>
      <c r="J149" s="2">
        <f>IF(ISNUMBER(F149),F149-D149,"")</f>
        <v/>
      </c>
      <c r="K149" s="2">
        <f>G149-D149</f>
        <v/>
      </c>
      <c r="L149" s="2">
        <f>ABS(I149)</f>
        <v/>
      </c>
      <c r="M149" s="2">
        <f>IF(ISNUMBER(F149),ABS(F149-D149),"")</f>
        <v/>
      </c>
      <c r="N149" s="2">
        <f>ABS(K149)</f>
        <v/>
      </c>
      <c r="O149" s="3">
        <f>IF(D149=0,"",(E149-D149)/D149)</f>
        <v/>
      </c>
      <c r="P149" s="3">
        <f>IF(ISNUMBER(F149),IF(D149=0,"",(F149-D149)/D149),"")</f>
        <v/>
      </c>
      <c r="Q149" s="3">
        <f>IF(D149=0,"",(G149-D149)/D149)</f>
        <v/>
      </c>
    </row>
    <row r="150">
      <c r="A150" t="inlineStr">
        <is>
          <t>HP2/01/105gsm/2440mm</t>
        </is>
      </c>
      <c r="B150" t="inlineStr">
        <is>
          <t>SBUR</t>
        </is>
      </c>
      <c r="C150" t="inlineStr">
        <is>
          <t>2026-09</t>
        </is>
      </c>
      <c r="D150" s="2" t="n">
        <v>66.664</v>
      </c>
      <c r="E150" s="2" t="n">
        <v>58</v>
      </c>
      <c r="F150" s="2" t="n">
        <v>48</v>
      </c>
      <c r="G150" s="2" t="n">
        <v>57.821</v>
      </c>
      <c r="H150">
        <f>ISNUMBER(F150)</f>
        <v/>
      </c>
      <c r="I150" s="2">
        <f>E150-D150</f>
        <v/>
      </c>
      <c r="J150" s="2">
        <f>IF(ISNUMBER(F150),F150-D150,"")</f>
        <v/>
      </c>
      <c r="K150" s="2">
        <f>G150-D150</f>
        <v/>
      </c>
      <c r="L150" s="2">
        <f>ABS(I150)</f>
        <v/>
      </c>
      <c r="M150" s="2">
        <f>IF(ISNUMBER(F150),ABS(F150-D150),"")</f>
        <v/>
      </c>
      <c r="N150" s="2">
        <f>ABS(K150)</f>
        <v/>
      </c>
      <c r="O150" s="3">
        <f>IF(D150=0,"",(E150-D150)/D150)</f>
        <v/>
      </c>
      <c r="P150" s="3">
        <f>IF(ISNUMBER(F150),IF(D150=0,"",(F150-D150)/D150),"")</f>
        <v/>
      </c>
      <c r="Q150" s="3">
        <f>IF(D150=0,"",(G150-D150)/D150)</f>
        <v/>
      </c>
    </row>
    <row r="151">
      <c r="A151" t="inlineStr">
        <is>
          <t>HP2/01/105gsm/2640mm</t>
        </is>
      </c>
      <c r="B151" t="inlineStr">
        <is>
          <t>SBUR</t>
        </is>
      </c>
      <c r="C151" t="inlineStr">
        <is>
          <t>2026-09</t>
        </is>
      </c>
      <c r="D151" s="2" t="n">
        <v>48.952</v>
      </c>
      <c r="E151" s="2" t="n">
        <v>54</v>
      </c>
      <c r="F151" s="2" t="n">
        <v>56</v>
      </c>
      <c r="G151" s="2" t="n">
        <v>42.609</v>
      </c>
      <c r="H151">
        <f>ISNUMBER(F151)</f>
        <v/>
      </c>
      <c r="I151" s="2">
        <f>E151-D151</f>
        <v/>
      </c>
      <c r="J151" s="2">
        <f>IF(ISNUMBER(F151),F151-D151,"")</f>
        <v/>
      </c>
      <c r="K151" s="2">
        <f>G151-D151</f>
        <v/>
      </c>
      <c r="L151" s="2">
        <f>ABS(I151)</f>
        <v/>
      </c>
      <c r="M151" s="2">
        <f>IF(ISNUMBER(F151),ABS(F151-D151),"")</f>
        <v/>
      </c>
      <c r="N151" s="2">
        <f>ABS(K151)</f>
        <v/>
      </c>
      <c r="O151" s="3">
        <f>IF(D151=0,"",(E151-D151)/D151)</f>
        <v/>
      </c>
      <c r="P151" s="3">
        <f>IF(ISNUMBER(F151),IF(D151=0,"",(F151-D151)/D151),"")</f>
        <v/>
      </c>
      <c r="Q151" s="3">
        <f>IF(D151=0,"",(G151-D151)/D151)</f>
        <v/>
      </c>
    </row>
    <row r="152">
      <c r="A152" t="inlineStr">
        <is>
          <t>HP2/01/105gsm/2790mm</t>
        </is>
      </c>
      <c r="B152" t="inlineStr">
        <is>
          <t>SBUR</t>
        </is>
      </c>
      <c r="C152" t="inlineStr">
        <is>
          <t>2026-09</t>
        </is>
      </c>
      <c r="D152" s="2" t="n">
        <v>98.7</v>
      </c>
      <c r="E152" s="2" t="n">
        <v>80</v>
      </c>
      <c r="F152" s="2" t="n">
        <v>54</v>
      </c>
      <c r="G152" s="2" t="n">
        <v>69.175</v>
      </c>
      <c r="H152">
        <f>ISNUMBER(F152)</f>
        <v/>
      </c>
      <c r="I152" s="2">
        <f>E152-D152</f>
        <v/>
      </c>
      <c r="J152" s="2">
        <f>IF(ISNUMBER(F152),F152-D152,"")</f>
        <v/>
      </c>
      <c r="K152" s="2">
        <f>G152-D152</f>
        <v/>
      </c>
      <c r="L152" s="2">
        <f>ABS(I152)</f>
        <v/>
      </c>
      <c r="M152" s="2">
        <f>IF(ISNUMBER(F152),ABS(F152-D152),"")</f>
        <v/>
      </c>
      <c r="N152" s="2">
        <f>ABS(K152)</f>
        <v/>
      </c>
      <c r="O152" s="3">
        <f>IF(D152=0,"",(E152-D152)/D152)</f>
        <v/>
      </c>
      <c r="P152" s="3">
        <f>IF(ISNUMBER(F152),IF(D152=0,"",(F152-D152)/D152),"")</f>
        <v/>
      </c>
      <c r="Q152" s="3">
        <f>IF(D152=0,"",(G152-D152)/D152)</f>
        <v/>
      </c>
    </row>
    <row r="153">
      <c r="A153" t="inlineStr">
        <is>
          <t>HP2/01/115gsm/2090mm</t>
        </is>
      </c>
      <c r="B153" t="inlineStr">
        <is>
          <t>SBUR</t>
        </is>
      </c>
      <c r="C153" t="inlineStr">
        <is>
          <t>2026-09</t>
        </is>
      </c>
      <c r="D153" s="2" t="n">
        <v>44.759</v>
      </c>
      <c r="E153" s="2" t="n">
        <v>52</v>
      </c>
      <c r="F153" s="2" t="n">
        <v>41</v>
      </c>
      <c r="G153" s="2" t="n">
        <v>62.667</v>
      </c>
      <c r="H153">
        <f>ISNUMBER(F153)</f>
        <v/>
      </c>
      <c r="I153" s="2">
        <f>E153-D153</f>
        <v/>
      </c>
      <c r="J153" s="2">
        <f>IF(ISNUMBER(F153),F153-D153,"")</f>
        <v/>
      </c>
      <c r="K153" s="2">
        <f>G153-D153</f>
        <v/>
      </c>
      <c r="L153" s="2">
        <f>ABS(I153)</f>
        <v/>
      </c>
      <c r="M153" s="2">
        <f>IF(ISNUMBER(F153),ABS(F153-D153),"")</f>
        <v/>
      </c>
      <c r="N153" s="2">
        <f>ABS(K153)</f>
        <v/>
      </c>
      <c r="O153" s="3">
        <f>IF(D153=0,"",(E153-D153)/D153)</f>
        <v/>
      </c>
      <c r="P153" s="3">
        <f>IF(ISNUMBER(F153),IF(D153=0,"",(F153-D153)/D153),"")</f>
        <v/>
      </c>
      <c r="Q153" s="3">
        <f>IF(D153=0,"",(G153-D153)/D153)</f>
        <v/>
      </c>
    </row>
    <row r="154">
      <c r="A154" t="inlineStr">
        <is>
          <t>HP2/01/115gsm/2440mm</t>
        </is>
      </c>
      <c r="B154" t="inlineStr">
        <is>
          <t>SBUR</t>
        </is>
      </c>
      <c r="C154" t="inlineStr">
        <is>
          <t>2026-09</t>
        </is>
      </c>
      <c r="D154" s="2" t="n">
        <v>94.64</v>
      </c>
      <c r="E154" s="2" t="n">
        <v>99</v>
      </c>
      <c r="F154" s="2" t="n">
        <v>59</v>
      </c>
      <c r="G154" s="2" t="n">
        <v>101.205</v>
      </c>
      <c r="H154">
        <f>ISNUMBER(F154)</f>
        <v/>
      </c>
      <c r="I154" s="2">
        <f>E154-D154</f>
        <v/>
      </c>
      <c r="J154" s="2">
        <f>IF(ISNUMBER(F154),F154-D154,"")</f>
        <v/>
      </c>
      <c r="K154" s="2">
        <f>G154-D154</f>
        <v/>
      </c>
      <c r="L154" s="2">
        <f>ABS(I154)</f>
        <v/>
      </c>
      <c r="M154" s="2">
        <f>IF(ISNUMBER(F154),ABS(F154-D154),"")</f>
        <v/>
      </c>
      <c r="N154" s="2">
        <f>ABS(K154)</f>
        <v/>
      </c>
      <c r="O154" s="3">
        <f>IF(D154=0,"",(E154-D154)/D154)</f>
        <v/>
      </c>
      <c r="P154" s="3">
        <f>IF(ISNUMBER(F154),IF(D154=0,"",(F154-D154)/D154),"")</f>
        <v/>
      </c>
      <c r="Q154" s="3">
        <f>IF(D154=0,"",(G154-D154)/D154)</f>
        <v/>
      </c>
    </row>
    <row r="155">
      <c r="A155" t="inlineStr">
        <is>
          <t>HP2/01/115gsm/2640mm</t>
        </is>
      </c>
      <c r="B155" t="inlineStr">
        <is>
          <t>SBUR</t>
        </is>
      </c>
      <c r="C155" t="inlineStr">
        <is>
          <t>2026-09</t>
        </is>
      </c>
      <c r="D155" s="2" t="n">
        <v>140.593</v>
      </c>
      <c r="E155" s="2" t="n">
        <v>193</v>
      </c>
      <c r="F155" s="2" t="n">
        <v>130</v>
      </c>
      <c r="G155" s="2" t="n">
        <v>196.918</v>
      </c>
      <c r="H155">
        <f>ISNUMBER(F155)</f>
        <v/>
      </c>
      <c r="I155" s="2">
        <f>E155-D155</f>
        <v/>
      </c>
      <c r="J155" s="2">
        <f>IF(ISNUMBER(F155),F155-D155,"")</f>
        <v/>
      </c>
      <c r="K155" s="2">
        <f>G155-D155</f>
        <v/>
      </c>
      <c r="L155" s="2">
        <f>ABS(I155)</f>
        <v/>
      </c>
      <c r="M155" s="2">
        <f>IF(ISNUMBER(F155),ABS(F155-D155),"")</f>
        <v/>
      </c>
      <c r="N155" s="2">
        <f>ABS(K155)</f>
        <v/>
      </c>
      <c r="O155" s="3">
        <f>IF(D155=0,"",(E155-D155)/D155)</f>
        <v/>
      </c>
      <c r="P155" s="3">
        <f>IF(ISNUMBER(F155),IF(D155=0,"",(F155-D155)/D155),"")</f>
        <v/>
      </c>
      <c r="Q155" s="3">
        <f>IF(D155=0,"",(G155-D155)/D155)</f>
        <v/>
      </c>
    </row>
    <row r="156">
      <c r="A156" t="inlineStr">
        <is>
          <t>HP2/01/115gsm/2790mm</t>
        </is>
      </c>
      <c r="B156" t="inlineStr">
        <is>
          <t>SBUR</t>
        </is>
      </c>
      <c r="C156" t="inlineStr">
        <is>
          <t>2026-09</t>
        </is>
      </c>
      <c r="D156" s="2" t="n">
        <v>243.436</v>
      </c>
      <c r="E156" s="2" t="n">
        <v>224</v>
      </c>
      <c r="F156" s="2" t="n">
        <v>172</v>
      </c>
      <c r="G156" s="2" t="n">
        <v>215.496</v>
      </c>
      <c r="H156">
        <f>ISNUMBER(F156)</f>
        <v/>
      </c>
      <c r="I156" s="2">
        <f>E156-D156</f>
        <v/>
      </c>
      <c r="J156" s="2">
        <f>IF(ISNUMBER(F156),F156-D156,"")</f>
        <v/>
      </c>
      <c r="K156" s="2">
        <f>G156-D156</f>
        <v/>
      </c>
      <c r="L156" s="2">
        <f>ABS(I156)</f>
        <v/>
      </c>
      <c r="M156" s="2">
        <f>IF(ISNUMBER(F156),ABS(F156-D156),"")</f>
        <v/>
      </c>
      <c r="N156" s="2">
        <f>ABS(K156)</f>
        <v/>
      </c>
      <c r="O156" s="3">
        <f>IF(D156=0,"",(E156-D156)/D156)</f>
        <v/>
      </c>
      <c r="P156" s="3">
        <f>IF(ISNUMBER(F156),IF(D156=0,"",(F156-D156)/D156),"")</f>
        <v/>
      </c>
      <c r="Q156" s="3">
        <f>IF(D156=0,"",(G156-D156)/D156)</f>
        <v/>
      </c>
    </row>
    <row r="157">
      <c r="A157" t="inlineStr">
        <is>
          <t>HP2/01/125gsm/2090mm</t>
        </is>
      </c>
      <c r="B157" t="inlineStr">
        <is>
          <t>SBUR</t>
        </is>
      </c>
      <c r="C157" t="inlineStr">
        <is>
          <t>2026-09</t>
        </is>
      </c>
      <c r="D157" s="2" t="n">
        <v>54.287</v>
      </c>
      <c r="E157" s="2" t="n">
        <v>44</v>
      </c>
      <c r="F157" s="2" t="n">
        <v>48</v>
      </c>
      <c r="G157" s="2" t="n">
        <v>53.119</v>
      </c>
      <c r="H157">
        <f>ISNUMBER(F157)</f>
        <v/>
      </c>
      <c r="I157" s="2">
        <f>E157-D157</f>
        <v/>
      </c>
      <c r="J157" s="2">
        <f>IF(ISNUMBER(F157),F157-D157,"")</f>
        <v/>
      </c>
      <c r="K157" s="2">
        <f>G157-D157</f>
        <v/>
      </c>
      <c r="L157" s="2">
        <f>ABS(I157)</f>
        <v/>
      </c>
      <c r="M157" s="2">
        <f>IF(ISNUMBER(F157),ABS(F157-D157),"")</f>
        <v/>
      </c>
      <c r="N157" s="2">
        <f>ABS(K157)</f>
        <v/>
      </c>
      <c r="O157" s="3">
        <f>IF(D157=0,"",(E157-D157)/D157)</f>
        <v/>
      </c>
      <c r="P157" s="3">
        <f>IF(ISNUMBER(F157),IF(D157=0,"",(F157-D157)/D157),"")</f>
        <v/>
      </c>
      <c r="Q157" s="3">
        <f>IF(D157=0,"",(G157-D157)/D157)</f>
        <v/>
      </c>
    </row>
    <row r="158">
      <c r="A158" t="inlineStr">
        <is>
          <t>HP2/01/125gsm/2440mm</t>
        </is>
      </c>
      <c r="B158" t="inlineStr">
        <is>
          <t>SBUR</t>
        </is>
      </c>
      <c r="C158" t="inlineStr">
        <is>
          <t>2026-09</t>
        </is>
      </c>
      <c r="D158" s="2" t="n">
        <v>168.57</v>
      </c>
      <c r="E158" s="2" t="n">
        <v>132</v>
      </c>
      <c r="F158" s="2" t="n">
        <v>139</v>
      </c>
      <c r="G158" s="2" t="n">
        <v>127.67</v>
      </c>
      <c r="H158">
        <f>ISNUMBER(F158)</f>
        <v/>
      </c>
      <c r="I158" s="2">
        <f>E158-D158</f>
        <v/>
      </c>
      <c r="J158" s="2">
        <f>IF(ISNUMBER(F158),F158-D158,"")</f>
        <v/>
      </c>
      <c r="K158" s="2">
        <f>G158-D158</f>
        <v/>
      </c>
      <c r="L158" s="2">
        <f>ABS(I158)</f>
        <v/>
      </c>
      <c r="M158" s="2">
        <f>IF(ISNUMBER(F158),ABS(F158-D158),"")</f>
        <v/>
      </c>
      <c r="N158" s="2">
        <f>ABS(K158)</f>
        <v/>
      </c>
      <c r="O158" s="3">
        <f>IF(D158=0,"",(E158-D158)/D158)</f>
        <v/>
      </c>
      <c r="P158" s="3">
        <f>IF(ISNUMBER(F158),IF(D158=0,"",(F158-D158)/D158),"")</f>
        <v/>
      </c>
      <c r="Q158" s="3">
        <f>IF(D158=0,"",(G158-D158)/D158)</f>
        <v/>
      </c>
    </row>
    <row r="159">
      <c r="A159" t="inlineStr">
        <is>
          <t>HP2/01/127gsm/2640mm</t>
        </is>
      </c>
      <c r="B159" t="inlineStr">
        <is>
          <t>SBUR</t>
        </is>
      </c>
      <c r="C159" t="inlineStr">
        <is>
          <t>2026-09</t>
        </is>
      </c>
      <c r="D159" s="2" t="n">
        <v>218</v>
      </c>
      <c r="E159" s="2" t="n">
        <v>274</v>
      </c>
      <c r="F159" s="4" t="inlineStr">
        <is>
          <t>faltante</t>
        </is>
      </c>
      <c r="G159" s="2" t="n">
        <v>116.981</v>
      </c>
      <c r="H159">
        <f>ISNUMBER(F159)</f>
        <v/>
      </c>
      <c r="I159" s="2">
        <f>E159-D159</f>
        <v/>
      </c>
      <c r="J159" s="2">
        <f>IF(ISNUMBER(F159),F159-D159,"")</f>
        <v/>
      </c>
      <c r="K159" s="2">
        <f>G159-D159</f>
        <v/>
      </c>
      <c r="L159" s="2">
        <f>ABS(I159)</f>
        <v/>
      </c>
      <c r="M159" s="2">
        <f>IF(ISNUMBER(F159),ABS(F159-D159),"")</f>
        <v/>
      </c>
      <c r="N159" s="2">
        <f>ABS(K159)</f>
        <v/>
      </c>
      <c r="O159" s="3">
        <f>IF(D159=0,"",(E159-D159)/D159)</f>
        <v/>
      </c>
      <c r="P159" s="3">
        <f>IF(ISNUMBER(F159),IF(D159=0,"",(F159-D159)/D159),"")</f>
        <v/>
      </c>
      <c r="Q159" s="3">
        <f>IF(D159=0,"",(G159-D159)/D159)</f>
        <v/>
      </c>
    </row>
    <row r="160">
      <c r="A160" t="inlineStr">
        <is>
          <t>HP2/01/127gsm/2790mm</t>
        </is>
      </c>
      <c r="B160" t="inlineStr">
        <is>
          <t>SBUR</t>
        </is>
      </c>
      <c r="C160" t="inlineStr">
        <is>
          <t>2026-09</t>
        </is>
      </c>
      <c r="D160" s="2" t="n">
        <v>210.099</v>
      </c>
      <c r="E160" s="2" t="n">
        <v>306</v>
      </c>
      <c r="F160" s="4" t="inlineStr">
        <is>
          <t>faltante</t>
        </is>
      </c>
      <c r="G160" s="2" t="n">
        <v>158.817</v>
      </c>
      <c r="H160">
        <f>ISNUMBER(F160)</f>
        <v/>
      </c>
      <c r="I160" s="2">
        <f>E160-D160</f>
        <v/>
      </c>
      <c r="J160" s="2">
        <f>IF(ISNUMBER(F160),F160-D160,"")</f>
        <v/>
      </c>
      <c r="K160" s="2">
        <f>G160-D160</f>
        <v/>
      </c>
      <c r="L160" s="2">
        <f>ABS(I160)</f>
        <v/>
      </c>
      <c r="M160" s="2">
        <f>IF(ISNUMBER(F160),ABS(F160-D160),"")</f>
        <v/>
      </c>
      <c r="N160" s="2">
        <f>ABS(K160)</f>
        <v/>
      </c>
      <c r="O160" s="3">
        <f>IF(D160=0,"",(E160-D160)/D160)</f>
        <v/>
      </c>
      <c r="P160" s="3">
        <f>IF(ISNUMBER(F160),IF(D160=0,"",(F160-D160)/D160),"")</f>
        <v/>
      </c>
      <c r="Q160" s="3">
        <f>IF(D160=0,"",(G160-D160)/D160)</f>
        <v/>
      </c>
    </row>
    <row r="161">
      <c r="A161" t="inlineStr">
        <is>
          <t>HP2/01/155gsm/2090mm</t>
        </is>
      </c>
      <c r="B161" t="inlineStr">
        <is>
          <t>SBUR</t>
        </is>
      </c>
      <c r="C161" t="inlineStr">
        <is>
          <t>2026-09</t>
        </is>
      </c>
      <c r="D161" s="2" t="n">
        <v>116.423</v>
      </c>
      <c r="E161" s="2" t="n">
        <v>120</v>
      </c>
      <c r="F161" s="2" t="n">
        <v>143</v>
      </c>
      <c r="G161" s="2" t="n">
        <v>122.068</v>
      </c>
      <c r="H161">
        <f>ISNUMBER(F161)</f>
        <v/>
      </c>
      <c r="I161" s="2">
        <f>E161-D161</f>
        <v/>
      </c>
      <c r="J161" s="2">
        <f>IF(ISNUMBER(F161),F161-D161,"")</f>
        <v/>
      </c>
      <c r="K161" s="2">
        <f>G161-D161</f>
        <v/>
      </c>
      <c r="L161" s="2">
        <f>ABS(I161)</f>
        <v/>
      </c>
      <c r="M161" s="2">
        <f>IF(ISNUMBER(F161),ABS(F161-D161),"")</f>
        <v/>
      </c>
      <c r="N161" s="2">
        <f>ABS(K161)</f>
        <v/>
      </c>
      <c r="O161" s="3">
        <f>IF(D161=0,"",(E161-D161)/D161)</f>
        <v/>
      </c>
      <c r="P161" s="3">
        <f>IF(ISNUMBER(F161),IF(D161=0,"",(F161-D161)/D161),"")</f>
        <v/>
      </c>
      <c r="Q161" s="3">
        <f>IF(D161=0,"",(G161-D161)/D161)</f>
        <v/>
      </c>
    </row>
    <row r="162">
      <c r="A162" t="inlineStr">
        <is>
          <t>HP2/01/155gsm/2440mm</t>
        </is>
      </c>
      <c r="B162" t="inlineStr">
        <is>
          <t>SBUR</t>
        </is>
      </c>
      <c r="C162" t="inlineStr">
        <is>
          <t>2026-09</t>
        </is>
      </c>
      <c r="D162" s="2" t="n">
        <v>152.615</v>
      </c>
      <c r="E162" s="2" t="n">
        <v>188</v>
      </c>
      <c r="F162" s="2" t="n">
        <v>140</v>
      </c>
      <c r="G162" s="2" t="n">
        <v>204.057</v>
      </c>
      <c r="H162">
        <f>ISNUMBER(F162)</f>
        <v/>
      </c>
      <c r="I162" s="2">
        <f>E162-D162</f>
        <v/>
      </c>
      <c r="J162" s="2">
        <f>IF(ISNUMBER(F162),F162-D162,"")</f>
        <v/>
      </c>
      <c r="K162" s="2">
        <f>G162-D162</f>
        <v/>
      </c>
      <c r="L162" s="2">
        <f>ABS(I162)</f>
        <v/>
      </c>
      <c r="M162" s="2">
        <f>IF(ISNUMBER(F162),ABS(F162-D162),"")</f>
        <v/>
      </c>
      <c r="N162" s="2">
        <f>ABS(K162)</f>
        <v/>
      </c>
      <c r="O162" s="3">
        <f>IF(D162=0,"",(E162-D162)/D162)</f>
        <v/>
      </c>
      <c r="P162" s="3">
        <f>IF(ISNUMBER(F162),IF(D162=0,"",(F162-D162)/D162),"")</f>
        <v/>
      </c>
      <c r="Q162" s="3">
        <f>IF(D162=0,"",(G162-D162)/D162)</f>
        <v/>
      </c>
    </row>
    <row r="163">
      <c r="A163" t="inlineStr">
        <is>
          <t>HP2/01/155gsm/2640mm</t>
        </is>
      </c>
      <c r="B163" t="inlineStr">
        <is>
          <t>SBUR</t>
        </is>
      </c>
      <c r="C163" t="inlineStr">
        <is>
          <t>2026-09</t>
        </is>
      </c>
      <c r="D163" s="2" t="n">
        <v>302.385</v>
      </c>
      <c r="E163" s="2" t="n">
        <v>388</v>
      </c>
      <c r="F163" s="2" t="n">
        <v>301</v>
      </c>
      <c r="G163" s="2" t="n">
        <v>349.626</v>
      </c>
      <c r="H163">
        <f>ISNUMBER(F163)</f>
        <v/>
      </c>
      <c r="I163" s="2">
        <f>E163-D163</f>
        <v/>
      </c>
      <c r="J163" s="2">
        <f>IF(ISNUMBER(F163),F163-D163,"")</f>
        <v/>
      </c>
      <c r="K163" s="2">
        <f>G163-D163</f>
        <v/>
      </c>
      <c r="L163" s="2">
        <f>ABS(I163)</f>
        <v/>
      </c>
      <c r="M163" s="2">
        <f>IF(ISNUMBER(F163),ABS(F163-D163),"")</f>
        <v/>
      </c>
      <c r="N163" s="2">
        <f>ABS(K163)</f>
        <v/>
      </c>
      <c r="O163" s="3">
        <f>IF(D163=0,"",(E163-D163)/D163)</f>
        <v/>
      </c>
      <c r="P163" s="3">
        <f>IF(ISNUMBER(F163),IF(D163=0,"",(F163-D163)/D163),"")</f>
        <v/>
      </c>
      <c r="Q163" s="3">
        <f>IF(D163=0,"",(G163-D163)/D163)</f>
        <v/>
      </c>
    </row>
    <row r="164">
      <c r="A164" t="inlineStr">
        <is>
          <t>HP2/01/155gsm/2790mm</t>
        </is>
      </c>
      <c r="B164" t="inlineStr">
        <is>
          <t>SBUR</t>
        </is>
      </c>
      <c r="C164" t="inlineStr">
        <is>
          <t>2026-09</t>
        </is>
      </c>
      <c r="D164" s="2" t="n">
        <v>382.695</v>
      </c>
      <c r="E164" s="2" t="n">
        <v>366</v>
      </c>
      <c r="F164" s="2" t="n">
        <v>394</v>
      </c>
      <c r="G164" s="2" t="n">
        <v>351.005</v>
      </c>
      <c r="H164">
        <f>ISNUMBER(F164)</f>
        <v/>
      </c>
      <c r="I164" s="2">
        <f>E164-D164</f>
        <v/>
      </c>
      <c r="J164" s="2">
        <f>IF(ISNUMBER(F164),F164-D164,"")</f>
        <v/>
      </c>
      <c r="K164" s="2">
        <f>G164-D164</f>
        <v/>
      </c>
      <c r="L164" s="2">
        <f>ABS(I164)</f>
        <v/>
      </c>
      <c r="M164" s="2">
        <f>IF(ISNUMBER(F164),ABS(F164-D164),"")</f>
        <v/>
      </c>
      <c r="N164" s="2">
        <f>ABS(K164)</f>
        <v/>
      </c>
      <c r="O164" s="3">
        <f>IF(D164=0,"",(E164-D164)/D164)</f>
        <v/>
      </c>
      <c r="P164" s="3">
        <f>IF(ISNUMBER(F164),IF(D164=0,"",(F164-D164)/D164),"")</f>
        <v/>
      </c>
      <c r="Q164" s="3">
        <f>IF(D164=0,"",(G164-D164)/D164)</f>
        <v/>
      </c>
    </row>
    <row r="165">
      <c r="A165" t="inlineStr">
        <is>
          <t>K/01/125gsm/2650mm</t>
        </is>
      </c>
      <c r="B165" t="inlineStr">
        <is>
          <t>SBUR</t>
        </is>
      </c>
      <c r="C165" t="inlineStr">
        <is>
          <t>2026-09</t>
        </is>
      </c>
      <c r="D165" s="2" t="n">
        <v>43.055</v>
      </c>
      <c r="E165" s="2" t="n">
        <v>35</v>
      </c>
      <c r="F165" s="2" t="n">
        <v>24</v>
      </c>
      <c r="G165" s="2" t="n">
        <v>36.265</v>
      </c>
      <c r="H165">
        <f>ISNUMBER(F165)</f>
        <v/>
      </c>
      <c r="I165" s="2">
        <f>E165-D165</f>
        <v/>
      </c>
      <c r="J165" s="2">
        <f>IF(ISNUMBER(F165),F165-D165,"")</f>
        <v/>
      </c>
      <c r="K165" s="2">
        <f>G165-D165</f>
        <v/>
      </c>
      <c r="L165" s="2">
        <f>ABS(I165)</f>
        <v/>
      </c>
      <c r="M165" s="2">
        <f>IF(ISNUMBER(F165),ABS(F165-D165),"")</f>
        <v/>
      </c>
      <c r="N165" s="2">
        <f>ABS(K165)</f>
        <v/>
      </c>
      <c r="O165" s="3">
        <f>IF(D165=0,"",(E165-D165)/D165)</f>
        <v/>
      </c>
      <c r="P165" s="3">
        <f>IF(ISNUMBER(F165),IF(D165=0,"",(F165-D165)/D165),"")</f>
        <v/>
      </c>
      <c r="Q165" s="3">
        <f>IF(D165=0,"",(G165-D165)/D165)</f>
        <v/>
      </c>
    </row>
    <row r="166">
      <c r="A166" t="inlineStr">
        <is>
          <t>K/01/125gsm/2800mm</t>
        </is>
      </c>
      <c r="B166" t="inlineStr">
        <is>
          <t>SBUR</t>
        </is>
      </c>
      <c r="C166" t="inlineStr">
        <is>
          <t>2026-09</t>
        </is>
      </c>
      <c r="D166" s="2" t="n">
        <v>35.542</v>
      </c>
      <c r="E166" s="2" t="n">
        <v>48</v>
      </c>
      <c r="F166" s="2" t="n">
        <v>40</v>
      </c>
      <c r="G166" s="2" t="n">
        <v>35.049</v>
      </c>
      <c r="H166">
        <f>ISNUMBER(F166)</f>
        <v/>
      </c>
      <c r="I166" s="2">
        <f>E166-D166</f>
        <v/>
      </c>
      <c r="J166" s="2">
        <f>IF(ISNUMBER(F166),F166-D166,"")</f>
        <v/>
      </c>
      <c r="K166" s="2">
        <f>G166-D166</f>
        <v/>
      </c>
      <c r="L166" s="2">
        <f>ABS(I166)</f>
        <v/>
      </c>
      <c r="M166" s="2">
        <f>IF(ISNUMBER(F166),ABS(F166-D166),"")</f>
        <v/>
      </c>
      <c r="N166" s="2">
        <f>ABS(K166)</f>
        <v/>
      </c>
      <c r="O166" s="3">
        <f>IF(D166=0,"",(E166-D166)/D166)</f>
        <v/>
      </c>
      <c r="P166" s="3">
        <f>IF(ISNUMBER(F166),IF(D166=0,"",(F166-D166)/D166),"")</f>
        <v/>
      </c>
      <c r="Q166" s="3">
        <f>IF(D166=0,"",(G166-D166)/D166)</f>
        <v/>
      </c>
    </row>
    <row r="167">
      <c r="A167" t="inlineStr">
        <is>
          <t>K/01/160gsm/2650mm</t>
        </is>
      </c>
      <c r="B167" t="inlineStr">
        <is>
          <t>SBUR</t>
        </is>
      </c>
      <c r="C167" t="inlineStr">
        <is>
          <t>2026-09</t>
        </is>
      </c>
      <c r="D167" s="2" t="n">
        <v>32.888</v>
      </c>
      <c r="E167" s="2" t="n">
        <v>36</v>
      </c>
      <c r="F167" s="2" t="n">
        <v>36</v>
      </c>
      <c r="G167" s="2" t="n">
        <v>29.411</v>
      </c>
      <c r="H167">
        <f>ISNUMBER(F167)</f>
        <v/>
      </c>
      <c r="I167" s="2">
        <f>E167-D167</f>
        <v/>
      </c>
      <c r="J167" s="2">
        <f>IF(ISNUMBER(F167),F167-D167,"")</f>
        <v/>
      </c>
      <c r="K167" s="2">
        <f>G167-D167</f>
        <v/>
      </c>
      <c r="L167" s="2">
        <f>ABS(I167)</f>
        <v/>
      </c>
      <c r="M167" s="2">
        <f>IF(ISNUMBER(F167),ABS(F167-D167),"")</f>
        <v/>
      </c>
      <c r="N167" s="2">
        <f>ABS(K167)</f>
        <v/>
      </c>
      <c r="O167" s="3">
        <f>IF(D167=0,"",(E167-D167)/D167)</f>
        <v/>
      </c>
      <c r="P167" s="3">
        <f>IF(ISNUMBER(F167),IF(D167=0,"",(F167-D167)/D167),"")</f>
        <v/>
      </c>
      <c r="Q167" s="3">
        <f>IF(D167=0,"",(G167-D167)/D167)</f>
        <v/>
      </c>
    </row>
    <row r="168">
      <c r="A168" t="inlineStr">
        <is>
          <t>K/01/160gsm/2800mm</t>
        </is>
      </c>
      <c r="B168" t="inlineStr">
        <is>
          <t>SBUR</t>
        </is>
      </c>
      <c r="C168" t="inlineStr">
        <is>
          <t>2026-09</t>
        </is>
      </c>
      <c r="D168" s="2" t="n">
        <v>52.756</v>
      </c>
      <c r="E168" s="2" t="n">
        <v>41</v>
      </c>
      <c r="F168" s="2" t="n">
        <v>45</v>
      </c>
      <c r="G168" s="2" t="n">
        <v>38.064</v>
      </c>
      <c r="H168">
        <f>ISNUMBER(F168)</f>
        <v/>
      </c>
      <c r="I168" s="2">
        <f>E168-D168</f>
        <v/>
      </c>
      <c r="J168" s="2">
        <f>IF(ISNUMBER(F168),F168-D168,"")</f>
        <v/>
      </c>
      <c r="K168" s="2">
        <f>G168-D168</f>
        <v/>
      </c>
      <c r="L168" s="2">
        <f>ABS(I168)</f>
        <v/>
      </c>
      <c r="M168" s="2">
        <f>IF(ISNUMBER(F168),ABS(F168-D168),"")</f>
        <v/>
      </c>
      <c r="N168" s="2">
        <f>ABS(K168)</f>
        <v/>
      </c>
      <c r="O168" s="3">
        <f>IF(D168=0,"",(E168-D168)/D168)</f>
        <v/>
      </c>
      <c r="P168" s="3">
        <f>IF(ISNUMBER(F168),IF(D168=0,"",(F168-D168)/D168),"")</f>
        <v/>
      </c>
      <c r="Q168" s="3">
        <f>IF(D168=0,"",(G168-D168)/D168)</f>
        <v/>
      </c>
    </row>
    <row r="169">
      <c r="A169" t="inlineStr">
        <is>
          <t>K/01/225gsm/2650mm</t>
        </is>
      </c>
      <c r="B169" t="inlineStr">
        <is>
          <t>SBUR</t>
        </is>
      </c>
      <c r="C169" t="inlineStr">
        <is>
          <t>2026-09</t>
        </is>
      </c>
      <c r="D169" s="2" t="n">
        <v>13.066</v>
      </c>
      <c r="E169" s="2" t="n">
        <v>36</v>
      </c>
      <c r="F169" s="2" t="n">
        <v>40</v>
      </c>
      <c r="G169" s="2" t="n">
        <v>36.865</v>
      </c>
      <c r="H169">
        <f>ISNUMBER(F169)</f>
        <v/>
      </c>
      <c r="I169" s="2">
        <f>E169-D169</f>
        <v/>
      </c>
      <c r="J169" s="2">
        <f>IF(ISNUMBER(F169),F169-D169,"")</f>
        <v/>
      </c>
      <c r="K169" s="2">
        <f>G169-D169</f>
        <v/>
      </c>
      <c r="L169" s="2">
        <f>ABS(I169)</f>
        <v/>
      </c>
      <c r="M169" s="2">
        <f>IF(ISNUMBER(F169),ABS(F169-D169),"")</f>
        <v/>
      </c>
      <c r="N169" s="2">
        <f>ABS(K169)</f>
        <v/>
      </c>
      <c r="O169" s="3">
        <f>IF(D169=0,"",(E169-D169)/D169)</f>
        <v/>
      </c>
      <c r="P169" s="3">
        <f>IF(ISNUMBER(F169),IF(D169=0,"",(F169-D169)/D169),"")</f>
        <v/>
      </c>
      <c r="Q169" s="3">
        <f>IF(D169=0,"",(G169-D169)/D169)</f>
        <v/>
      </c>
    </row>
    <row r="170">
      <c r="A170" t="inlineStr">
        <is>
          <t>K/01/225gsm/2800mm</t>
        </is>
      </c>
      <c r="B170" t="inlineStr">
        <is>
          <t>SBUR</t>
        </is>
      </c>
      <c r="C170" t="inlineStr">
        <is>
          <t>2026-09</t>
        </is>
      </c>
      <c r="D170" s="2" t="n">
        <v>61.776</v>
      </c>
      <c r="E170" s="2" t="n">
        <v>36</v>
      </c>
      <c r="F170" s="2" t="n">
        <v>17</v>
      </c>
      <c r="G170" s="2" t="n">
        <v>24.579</v>
      </c>
      <c r="H170">
        <f>ISNUMBER(F170)</f>
        <v/>
      </c>
      <c r="I170" s="2">
        <f>E170-D170</f>
        <v/>
      </c>
      <c r="J170" s="2">
        <f>IF(ISNUMBER(F170),F170-D170,"")</f>
        <v/>
      </c>
      <c r="K170" s="2">
        <f>G170-D170</f>
        <v/>
      </c>
      <c r="L170" s="2">
        <f>ABS(I170)</f>
        <v/>
      </c>
      <c r="M170" s="2">
        <f>IF(ISNUMBER(F170),ABS(F170-D170),"")</f>
        <v/>
      </c>
      <c r="N170" s="2">
        <f>ABS(K170)</f>
        <v/>
      </c>
      <c r="O170" s="3">
        <f>IF(D170=0,"",(E170-D170)/D170)</f>
        <v/>
      </c>
      <c r="P170" s="3">
        <f>IF(ISNUMBER(F170),IF(D170=0,"",(F170-D170)/D170),"")</f>
        <v/>
      </c>
      <c r="Q170" s="3">
        <f>IF(D170=0,"",(G170-D170)/D170)</f>
        <v/>
      </c>
    </row>
    <row r="171">
      <c r="A171" t="inlineStr">
        <is>
          <t>KS/257/165gsm/2100mm</t>
        </is>
      </c>
      <c r="B171" t="inlineStr">
        <is>
          <t>SBUR</t>
        </is>
      </c>
      <c r="C171" t="inlineStr">
        <is>
          <t>2026-09</t>
        </is>
      </c>
      <c r="D171" s="2" t="n">
        <v>36.972</v>
      </c>
      <c r="E171" s="2" t="n">
        <v>69</v>
      </c>
      <c r="F171" s="2" t="n">
        <v>2</v>
      </c>
      <c r="G171" s="2" t="n">
        <v>57.53</v>
      </c>
      <c r="H171">
        <f>ISNUMBER(F171)</f>
        <v/>
      </c>
      <c r="I171" s="2">
        <f>E171-D171</f>
        <v/>
      </c>
      <c r="J171" s="2">
        <f>IF(ISNUMBER(F171),F171-D171,"")</f>
        <v/>
      </c>
      <c r="K171" s="2">
        <f>G171-D171</f>
        <v/>
      </c>
      <c r="L171" s="2">
        <f>ABS(I171)</f>
        <v/>
      </c>
      <c r="M171" s="2">
        <f>IF(ISNUMBER(F171),ABS(F171-D171),"")</f>
        <v/>
      </c>
      <c r="N171" s="2">
        <f>ABS(K171)</f>
        <v/>
      </c>
      <c r="O171" s="3">
        <f>IF(D171=0,"",(E171-D171)/D171)</f>
        <v/>
      </c>
      <c r="P171" s="3">
        <f>IF(ISNUMBER(F171),IF(D171=0,"",(F171-D171)/D171),"")</f>
        <v/>
      </c>
      <c r="Q171" s="3">
        <f>IF(D171=0,"",(G171-D171)/D171)</f>
        <v/>
      </c>
    </row>
    <row r="172">
      <c r="A172" t="inlineStr">
        <is>
          <t>KS/257/165gsm/2650mm</t>
        </is>
      </c>
      <c r="B172" t="inlineStr">
        <is>
          <t>SBUR</t>
        </is>
      </c>
      <c r="C172" t="inlineStr">
        <is>
          <t>2026-09</t>
        </is>
      </c>
      <c r="D172" s="2" t="n">
        <v>55.076</v>
      </c>
      <c r="E172" s="2" t="n">
        <v>37</v>
      </c>
      <c r="F172" s="2" t="n">
        <v>58</v>
      </c>
      <c r="G172" s="2" t="n">
        <v>40.924</v>
      </c>
      <c r="H172">
        <f>ISNUMBER(F172)</f>
        <v/>
      </c>
      <c r="I172" s="2">
        <f>E172-D172</f>
        <v/>
      </c>
      <c r="J172" s="2">
        <f>IF(ISNUMBER(F172),F172-D172,"")</f>
        <v/>
      </c>
      <c r="K172" s="2">
        <f>G172-D172</f>
        <v/>
      </c>
      <c r="L172" s="2">
        <f>ABS(I172)</f>
        <v/>
      </c>
      <c r="M172" s="2">
        <f>IF(ISNUMBER(F172),ABS(F172-D172),"")</f>
        <v/>
      </c>
      <c r="N172" s="2">
        <f>ABS(K172)</f>
        <v/>
      </c>
      <c r="O172" s="3">
        <f>IF(D172=0,"",(E172-D172)/D172)</f>
        <v/>
      </c>
      <c r="P172" s="3">
        <f>IF(ISNUMBER(F172),IF(D172=0,"",(F172-D172)/D172),"")</f>
        <v/>
      </c>
      <c r="Q172" s="3">
        <f>IF(D172=0,"",(G172-D172)/D172)</f>
        <v/>
      </c>
    </row>
    <row r="173">
      <c r="A173" t="inlineStr">
        <is>
          <t>KS/257/165gsm/2800mm</t>
        </is>
      </c>
      <c r="B173" t="inlineStr">
        <is>
          <t>SBUR</t>
        </is>
      </c>
      <c r="C173" t="inlineStr">
        <is>
          <t>2026-09</t>
        </is>
      </c>
      <c r="D173" s="2" t="n">
        <v>82.17</v>
      </c>
      <c r="E173" s="2" t="n">
        <v>69</v>
      </c>
      <c r="F173" s="2" t="n">
        <v>64</v>
      </c>
      <c r="G173" s="2" t="n">
        <v>67.479</v>
      </c>
      <c r="H173">
        <f>ISNUMBER(F173)</f>
        <v/>
      </c>
      <c r="I173" s="2">
        <f>E173-D173</f>
        <v/>
      </c>
      <c r="J173" s="2">
        <f>IF(ISNUMBER(F173),F173-D173,"")</f>
        <v/>
      </c>
      <c r="K173" s="2">
        <f>G173-D173</f>
        <v/>
      </c>
      <c r="L173" s="2">
        <f>ABS(I173)</f>
        <v/>
      </c>
      <c r="M173" s="2">
        <f>IF(ISNUMBER(F173),ABS(F173-D173),"")</f>
        <v/>
      </c>
      <c r="N173" s="2">
        <f>ABS(K173)</f>
        <v/>
      </c>
      <c r="O173" s="3">
        <f>IF(D173=0,"",(E173-D173)/D173)</f>
        <v/>
      </c>
      <c r="P173" s="3">
        <f>IF(ISNUMBER(F173),IF(D173=0,"",(F173-D173)/D173),"")</f>
        <v/>
      </c>
      <c r="Q173" s="3">
        <f>IF(D173=0,"",(G173-D173)/D173)</f>
        <v/>
      </c>
    </row>
    <row r="174">
      <c r="A174" t="inlineStr">
        <is>
          <t>KS/257/215gsm/2450mm</t>
        </is>
      </c>
      <c r="B174" t="inlineStr">
        <is>
          <t>SBUR</t>
        </is>
      </c>
      <c r="C174" t="inlineStr">
        <is>
          <t>2026-09</t>
        </is>
      </c>
      <c r="D174" s="2" t="n">
        <v>64.014</v>
      </c>
      <c r="E174" s="2" t="n">
        <v>54</v>
      </c>
      <c r="F174" s="2" t="n">
        <v>21</v>
      </c>
      <c r="G174" s="2" t="n">
        <v>60.967</v>
      </c>
      <c r="H174">
        <f>ISNUMBER(F174)</f>
        <v/>
      </c>
      <c r="I174" s="2">
        <f>E174-D174</f>
        <v/>
      </c>
      <c r="J174" s="2">
        <f>IF(ISNUMBER(F174),F174-D174,"")</f>
        <v/>
      </c>
      <c r="K174" s="2">
        <f>G174-D174</f>
        <v/>
      </c>
      <c r="L174" s="2">
        <f>ABS(I174)</f>
        <v/>
      </c>
      <c r="M174" s="2">
        <f>IF(ISNUMBER(F174),ABS(F174-D174),"")</f>
        <v/>
      </c>
      <c r="N174" s="2">
        <f>ABS(K174)</f>
        <v/>
      </c>
      <c r="O174" s="3">
        <f>IF(D174=0,"",(E174-D174)/D174)</f>
        <v/>
      </c>
      <c r="P174" s="3">
        <f>IF(ISNUMBER(F174),IF(D174=0,"",(F174-D174)/D174),"")</f>
        <v/>
      </c>
      <c r="Q174" s="3">
        <f>IF(D174=0,"",(G174-D174)/D174)</f>
        <v/>
      </c>
    </row>
    <row r="175">
      <c r="A175" t="inlineStr">
        <is>
          <t>KS/257/215gsm/2650mm</t>
        </is>
      </c>
      <c r="B175" t="inlineStr">
        <is>
          <t>SBUR</t>
        </is>
      </c>
      <c r="C175" t="inlineStr">
        <is>
          <t>2026-09</t>
        </is>
      </c>
      <c r="D175" s="2" t="n">
        <v>64.79300000000001</v>
      </c>
      <c r="E175" s="2" t="n">
        <v>76</v>
      </c>
      <c r="F175" s="2" t="n">
        <v>40</v>
      </c>
      <c r="G175" s="2" t="n">
        <v>68.021</v>
      </c>
      <c r="H175">
        <f>ISNUMBER(F175)</f>
        <v/>
      </c>
      <c r="I175" s="2">
        <f>E175-D175</f>
        <v/>
      </c>
      <c r="J175" s="2">
        <f>IF(ISNUMBER(F175),F175-D175,"")</f>
        <v/>
      </c>
      <c r="K175" s="2">
        <f>G175-D175</f>
        <v/>
      </c>
      <c r="L175" s="2">
        <f>ABS(I175)</f>
        <v/>
      </c>
      <c r="M175" s="2">
        <f>IF(ISNUMBER(F175),ABS(F175-D175),"")</f>
        <v/>
      </c>
      <c r="N175" s="2">
        <f>ABS(K175)</f>
        <v/>
      </c>
      <c r="O175" s="3">
        <f>IF(D175=0,"",(E175-D175)/D175)</f>
        <v/>
      </c>
      <c r="P175" s="3">
        <f>IF(ISNUMBER(F175),IF(D175=0,"",(F175-D175)/D175),"")</f>
        <v/>
      </c>
      <c r="Q175" s="3">
        <f>IF(D175=0,"",(G175-D175)/D175)</f>
        <v/>
      </c>
    </row>
    <row r="176">
      <c r="A176" t="inlineStr">
        <is>
          <t>KS/257/215gsm/2800mm</t>
        </is>
      </c>
      <c r="B176" t="inlineStr">
        <is>
          <t>SBUR</t>
        </is>
      </c>
      <c r="C176" t="inlineStr">
        <is>
          <t>2026-09</t>
        </is>
      </c>
      <c r="D176" s="2" t="n">
        <v>46.835</v>
      </c>
      <c r="E176" s="2" t="n">
        <v>62</v>
      </c>
      <c r="F176" s="2" t="n">
        <v>52</v>
      </c>
      <c r="G176" s="2" t="n">
        <v>68.254</v>
      </c>
      <c r="H176">
        <f>ISNUMBER(F176)</f>
        <v/>
      </c>
      <c r="I176" s="2">
        <f>E176-D176</f>
        <v/>
      </c>
      <c r="J176" s="2">
        <f>IF(ISNUMBER(F176),F176-D176,"")</f>
        <v/>
      </c>
      <c r="K176" s="2">
        <f>G176-D176</f>
        <v/>
      </c>
      <c r="L176" s="2">
        <f>ABS(I176)</f>
        <v/>
      </c>
      <c r="M176" s="2">
        <f>IF(ISNUMBER(F176),ABS(F176-D176),"")</f>
        <v/>
      </c>
      <c r="N176" s="2">
        <f>ABS(K176)</f>
        <v/>
      </c>
      <c r="O176" s="3">
        <f>IF(D176=0,"",(E176-D176)/D176)</f>
        <v/>
      </c>
      <c r="P176" s="3">
        <f>IF(ISNUMBER(F176),IF(D176=0,"",(F176-D176)/D176),"")</f>
        <v/>
      </c>
      <c r="Q176" s="3">
        <f>IF(D176=0,"",(G176-D176)/D176)</f>
        <v/>
      </c>
    </row>
    <row r="177">
      <c r="A177" t="inlineStr">
        <is>
          <t>KW2/01/115gsm/2450mm</t>
        </is>
      </c>
      <c r="B177" t="inlineStr">
        <is>
          <t>SBUR</t>
        </is>
      </c>
      <c r="C177" t="inlineStr">
        <is>
          <t>2026-09</t>
        </is>
      </c>
      <c r="D177" s="2" t="n">
        <v>72.57899999999999</v>
      </c>
      <c r="E177" s="2" t="n">
        <v>46</v>
      </c>
      <c r="F177" s="2" t="n">
        <v>19</v>
      </c>
      <c r="G177" s="2" t="n">
        <v>57.796</v>
      </c>
      <c r="H177">
        <f>ISNUMBER(F177)</f>
        <v/>
      </c>
      <c r="I177" s="2">
        <f>E177-D177</f>
        <v/>
      </c>
      <c r="J177" s="2">
        <f>IF(ISNUMBER(F177),F177-D177,"")</f>
        <v/>
      </c>
      <c r="K177" s="2">
        <f>G177-D177</f>
        <v/>
      </c>
      <c r="L177" s="2">
        <f>ABS(I177)</f>
        <v/>
      </c>
      <c r="M177" s="2">
        <f>IF(ISNUMBER(F177),ABS(F177-D177),"")</f>
        <v/>
      </c>
      <c r="N177" s="2">
        <f>ABS(K177)</f>
        <v/>
      </c>
      <c r="O177" s="3">
        <f>IF(D177=0,"",(E177-D177)/D177)</f>
        <v/>
      </c>
      <c r="P177" s="3">
        <f>IF(ISNUMBER(F177),IF(D177=0,"",(F177-D177)/D177),"")</f>
        <v/>
      </c>
      <c r="Q177" s="3">
        <f>IF(D177=0,"",(G177-D177)/D177)</f>
        <v/>
      </c>
    </row>
    <row r="178">
      <c r="A178" t="inlineStr">
        <is>
          <t>KW2/01/115gsm/2650mm</t>
        </is>
      </c>
      <c r="B178" t="inlineStr">
        <is>
          <t>SBUR</t>
        </is>
      </c>
      <c r="C178" t="inlineStr">
        <is>
          <t>2026-09</t>
        </is>
      </c>
      <c r="D178" s="2" t="n">
        <v>24.521</v>
      </c>
      <c r="E178" s="2" t="n">
        <v>36</v>
      </c>
      <c r="F178" s="2" t="n">
        <v>12</v>
      </c>
      <c r="G178" s="2" t="n">
        <v>34.817</v>
      </c>
      <c r="H178">
        <f>ISNUMBER(F178)</f>
        <v/>
      </c>
      <c r="I178" s="2">
        <f>E178-D178</f>
        <v/>
      </c>
      <c r="J178" s="2">
        <f>IF(ISNUMBER(F178),F178-D178,"")</f>
        <v/>
      </c>
      <c r="K178" s="2">
        <f>G178-D178</f>
        <v/>
      </c>
      <c r="L178" s="2">
        <f>ABS(I178)</f>
        <v/>
      </c>
      <c r="M178" s="2">
        <f>IF(ISNUMBER(F178),ABS(F178-D178),"")</f>
        <v/>
      </c>
      <c r="N178" s="2">
        <f>ABS(K178)</f>
        <v/>
      </c>
      <c r="O178" s="3">
        <f>IF(D178=0,"",(E178-D178)/D178)</f>
        <v/>
      </c>
      <c r="P178" s="3">
        <f>IF(ISNUMBER(F178),IF(D178=0,"",(F178-D178)/D178),"")</f>
        <v/>
      </c>
      <c r="Q178" s="3">
        <f>IF(D178=0,"",(G178-D178)/D178)</f>
        <v/>
      </c>
    </row>
    <row r="179">
      <c r="A179" t="inlineStr">
        <is>
          <t>KW2/01/115gsm/2800mm</t>
        </is>
      </c>
      <c r="B179" t="inlineStr">
        <is>
          <t>SBUR</t>
        </is>
      </c>
      <c r="C179" t="inlineStr">
        <is>
          <t>2026-09</t>
        </is>
      </c>
      <c r="D179" s="2" t="n">
        <v>49.014</v>
      </c>
      <c r="E179" s="2" t="n">
        <v>55</v>
      </c>
      <c r="F179" s="2" t="n">
        <v>17</v>
      </c>
      <c r="G179" s="2" t="n">
        <v>56.062</v>
      </c>
      <c r="H179">
        <f>ISNUMBER(F179)</f>
        <v/>
      </c>
      <c r="I179" s="2">
        <f>E179-D179</f>
        <v/>
      </c>
      <c r="J179" s="2">
        <f>IF(ISNUMBER(F179),F179-D179,"")</f>
        <v/>
      </c>
      <c r="K179" s="2">
        <f>G179-D179</f>
        <v/>
      </c>
      <c r="L179" s="2">
        <f>ABS(I179)</f>
        <v/>
      </c>
      <c r="M179" s="2">
        <f>IF(ISNUMBER(F179),ABS(F179-D179),"")</f>
        <v/>
      </c>
      <c r="N179" s="2">
        <f>ABS(K179)</f>
        <v/>
      </c>
      <c r="O179" s="3">
        <f>IF(D179=0,"",(E179-D179)/D179)</f>
        <v/>
      </c>
      <c r="P179" s="3">
        <f>IF(ISNUMBER(F179),IF(D179=0,"",(F179-D179)/D179),"")</f>
        <v/>
      </c>
      <c r="Q179" s="3">
        <f>IF(D179=0,"",(G179-D179)/D179)</f>
        <v/>
      </c>
    </row>
    <row r="180">
      <c r="A180" t="inlineStr">
        <is>
          <t>KW2/01/125gsm/2100mm</t>
        </is>
      </c>
      <c r="B180" t="inlineStr">
        <is>
          <t>SBUR</t>
        </is>
      </c>
      <c r="C180" t="inlineStr">
        <is>
          <t>2026-09</t>
        </is>
      </c>
      <c r="D180" s="2" t="n">
        <v>29.14</v>
      </c>
      <c r="E180" s="2" t="n">
        <v>28</v>
      </c>
      <c r="F180" s="2" t="n">
        <v>65</v>
      </c>
      <c r="G180" s="2" t="n">
        <v>37.078</v>
      </c>
      <c r="H180">
        <f>ISNUMBER(F180)</f>
        <v/>
      </c>
      <c r="I180" s="2">
        <f>E180-D180</f>
        <v/>
      </c>
      <c r="J180" s="2">
        <f>IF(ISNUMBER(F180),F180-D180,"")</f>
        <v/>
      </c>
      <c r="K180" s="2">
        <f>G180-D180</f>
        <v/>
      </c>
      <c r="L180" s="2">
        <f>ABS(I180)</f>
        <v/>
      </c>
      <c r="M180" s="2">
        <f>IF(ISNUMBER(F180),ABS(F180-D180),"")</f>
        <v/>
      </c>
      <c r="N180" s="2">
        <f>ABS(K180)</f>
        <v/>
      </c>
      <c r="O180" s="3">
        <f>IF(D180=0,"",(E180-D180)/D180)</f>
        <v/>
      </c>
      <c r="P180" s="3">
        <f>IF(ISNUMBER(F180),IF(D180=0,"",(F180-D180)/D180),"")</f>
        <v/>
      </c>
      <c r="Q180" s="3">
        <f>IF(D180=0,"",(G180-D180)/D180)</f>
        <v/>
      </c>
    </row>
    <row r="181">
      <c r="A181" t="inlineStr">
        <is>
          <t>KW2/01/125gsm/2450mm</t>
        </is>
      </c>
      <c r="B181" t="inlineStr">
        <is>
          <t>SBUR</t>
        </is>
      </c>
      <c r="C181" t="inlineStr">
        <is>
          <t>2026-09</t>
        </is>
      </c>
      <c r="D181" s="2" t="n">
        <v>125.459</v>
      </c>
      <c r="E181" s="2" t="n">
        <v>116</v>
      </c>
      <c r="F181" s="2" t="n">
        <v>98</v>
      </c>
      <c r="G181" s="2" t="n">
        <v>114.267</v>
      </c>
      <c r="H181">
        <f>ISNUMBER(F181)</f>
        <v/>
      </c>
      <c r="I181" s="2">
        <f>E181-D181</f>
        <v/>
      </c>
      <c r="J181" s="2">
        <f>IF(ISNUMBER(F181),F181-D181,"")</f>
        <v/>
      </c>
      <c r="K181" s="2">
        <f>G181-D181</f>
        <v/>
      </c>
      <c r="L181" s="2">
        <f>ABS(I181)</f>
        <v/>
      </c>
      <c r="M181" s="2">
        <f>IF(ISNUMBER(F181),ABS(F181-D181),"")</f>
        <v/>
      </c>
      <c r="N181" s="2">
        <f>ABS(K181)</f>
        <v/>
      </c>
      <c r="O181" s="3">
        <f>IF(D181=0,"",(E181-D181)/D181)</f>
        <v/>
      </c>
      <c r="P181" s="3">
        <f>IF(ISNUMBER(F181),IF(D181=0,"",(F181-D181)/D181),"")</f>
        <v/>
      </c>
      <c r="Q181" s="3">
        <f>IF(D181=0,"",(G181-D181)/D181)</f>
        <v/>
      </c>
    </row>
    <row r="182">
      <c r="A182" t="inlineStr">
        <is>
          <t>KW2/01/125gsm/2650mm</t>
        </is>
      </c>
      <c r="B182" t="inlineStr">
        <is>
          <t>SBUR</t>
        </is>
      </c>
      <c r="C182" t="inlineStr">
        <is>
          <t>2026-09</t>
        </is>
      </c>
      <c r="D182" s="2" t="n">
        <v>95.806</v>
      </c>
      <c r="E182" s="2" t="n">
        <v>129</v>
      </c>
      <c r="F182" s="2" t="n">
        <v>109</v>
      </c>
      <c r="G182" s="2" t="n">
        <v>123.278</v>
      </c>
      <c r="H182">
        <f>ISNUMBER(F182)</f>
        <v/>
      </c>
      <c r="I182" s="2">
        <f>E182-D182</f>
        <v/>
      </c>
      <c r="J182" s="2">
        <f>IF(ISNUMBER(F182),F182-D182,"")</f>
        <v/>
      </c>
      <c r="K182" s="2">
        <f>G182-D182</f>
        <v/>
      </c>
      <c r="L182" s="2">
        <f>ABS(I182)</f>
        <v/>
      </c>
      <c r="M182" s="2">
        <f>IF(ISNUMBER(F182),ABS(F182-D182),"")</f>
        <v/>
      </c>
      <c r="N182" s="2">
        <f>ABS(K182)</f>
        <v/>
      </c>
      <c r="O182" s="3">
        <f>IF(D182=0,"",(E182-D182)/D182)</f>
        <v/>
      </c>
      <c r="P182" s="3">
        <f>IF(ISNUMBER(F182),IF(D182=0,"",(F182-D182)/D182),"")</f>
        <v/>
      </c>
      <c r="Q182" s="3">
        <f>IF(D182=0,"",(G182-D182)/D182)</f>
        <v/>
      </c>
    </row>
    <row r="183">
      <c r="A183" t="inlineStr">
        <is>
          <t>KW2/01/125gsm/2800mm</t>
        </is>
      </c>
      <c r="B183" t="inlineStr">
        <is>
          <t>SBUR</t>
        </is>
      </c>
      <c r="C183" t="inlineStr">
        <is>
          <t>2026-09</t>
        </is>
      </c>
      <c r="D183" s="2" t="n">
        <v>116.868</v>
      </c>
      <c r="E183" s="2" t="n">
        <v>108</v>
      </c>
      <c r="F183" s="2" t="n">
        <v>123</v>
      </c>
      <c r="G183" s="2" t="n">
        <v>149.738</v>
      </c>
      <c r="H183">
        <f>ISNUMBER(F183)</f>
        <v/>
      </c>
      <c r="I183" s="2">
        <f>E183-D183</f>
        <v/>
      </c>
      <c r="J183" s="2">
        <f>IF(ISNUMBER(F183),F183-D183,"")</f>
        <v/>
      </c>
      <c r="K183" s="2">
        <f>G183-D183</f>
        <v/>
      </c>
      <c r="L183" s="2">
        <f>ABS(I183)</f>
        <v/>
      </c>
      <c r="M183" s="2">
        <f>IF(ISNUMBER(F183),ABS(F183-D183),"")</f>
        <v/>
      </c>
      <c r="N183" s="2">
        <f>ABS(K183)</f>
        <v/>
      </c>
      <c r="O183" s="3">
        <f>IF(D183=0,"",(E183-D183)/D183)</f>
        <v/>
      </c>
      <c r="P183" s="3">
        <f>IF(ISNUMBER(F183),IF(D183=0,"",(F183-D183)/D183),"")</f>
        <v/>
      </c>
      <c r="Q183" s="3">
        <f>IF(D183=0,"",(G183-D183)/D183)</f>
        <v/>
      </c>
    </row>
    <row r="184">
      <c r="A184" t="inlineStr">
        <is>
          <t>RF1/01/100gsm/2090mm</t>
        </is>
      </c>
      <c r="B184" t="inlineStr">
        <is>
          <t>SBUR</t>
        </is>
      </c>
      <c r="C184" t="inlineStr">
        <is>
          <t>2026-09</t>
        </is>
      </c>
      <c r="D184" s="2" t="n">
        <v>41.314</v>
      </c>
      <c r="E184" s="2" t="n">
        <v>14</v>
      </c>
      <c r="F184" s="2" t="n">
        <v>58</v>
      </c>
      <c r="G184" s="2" t="n">
        <v>24.728</v>
      </c>
      <c r="H184">
        <f>ISNUMBER(F184)</f>
        <v/>
      </c>
      <c r="I184" s="2">
        <f>E184-D184</f>
        <v/>
      </c>
      <c r="J184" s="2">
        <f>IF(ISNUMBER(F184),F184-D184,"")</f>
        <v/>
      </c>
      <c r="K184" s="2">
        <f>G184-D184</f>
        <v/>
      </c>
      <c r="L184" s="2">
        <f>ABS(I184)</f>
        <v/>
      </c>
      <c r="M184" s="2">
        <f>IF(ISNUMBER(F184),ABS(F184-D184),"")</f>
        <v/>
      </c>
      <c r="N184" s="2">
        <f>ABS(K184)</f>
        <v/>
      </c>
      <c r="O184" s="3">
        <f>IF(D184=0,"",(E184-D184)/D184)</f>
        <v/>
      </c>
      <c r="P184" s="3">
        <f>IF(ISNUMBER(F184),IF(D184=0,"",(F184-D184)/D184),"")</f>
        <v/>
      </c>
      <c r="Q184" s="3">
        <f>IF(D184=0,"",(G184-D184)/D184)</f>
        <v/>
      </c>
    </row>
    <row r="185">
      <c r="A185" t="inlineStr">
        <is>
          <t>RF1/01/100gsm/2440mm</t>
        </is>
      </c>
      <c r="B185" t="inlineStr">
        <is>
          <t>SBUR</t>
        </is>
      </c>
      <c r="C185" t="inlineStr">
        <is>
          <t>2026-09</t>
        </is>
      </c>
      <c r="D185" s="2" t="n">
        <v>216.962</v>
      </c>
      <c r="E185" s="2" t="n">
        <v>197</v>
      </c>
      <c r="F185" s="2" t="n">
        <v>235</v>
      </c>
      <c r="G185" s="2" t="n">
        <v>218.953</v>
      </c>
      <c r="H185">
        <f>ISNUMBER(F185)</f>
        <v/>
      </c>
      <c r="I185" s="2">
        <f>E185-D185</f>
        <v/>
      </c>
      <c r="J185" s="2">
        <f>IF(ISNUMBER(F185),F185-D185,"")</f>
        <v/>
      </c>
      <c r="K185" s="2">
        <f>G185-D185</f>
        <v/>
      </c>
      <c r="L185" s="2">
        <f>ABS(I185)</f>
        <v/>
      </c>
      <c r="M185" s="2">
        <f>IF(ISNUMBER(F185),ABS(F185-D185),"")</f>
        <v/>
      </c>
      <c r="N185" s="2">
        <f>ABS(K185)</f>
        <v/>
      </c>
      <c r="O185" s="3">
        <f>IF(D185=0,"",(E185-D185)/D185)</f>
        <v/>
      </c>
      <c r="P185" s="3">
        <f>IF(ISNUMBER(F185),IF(D185=0,"",(F185-D185)/D185),"")</f>
        <v/>
      </c>
      <c r="Q185" s="3">
        <f>IF(D185=0,"",(G185-D185)/D185)</f>
        <v/>
      </c>
    </row>
    <row r="186">
      <c r="A186" t="inlineStr">
        <is>
          <t>RF1/01/100gsm/2640mm</t>
        </is>
      </c>
      <c r="B186" t="inlineStr">
        <is>
          <t>SBUR</t>
        </is>
      </c>
      <c r="C186" t="inlineStr">
        <is>
          <t>2026-09</t>
        </is>
      </c>
      <c r="D186" s="2" t="n">
        <v>253.973</v>
      </c>
      <c r="E186" s="2" t="n">
        <v>234</v>
      </c>
      <c r="F186" s="2" t="n">
        <v>198</v>
      </c>
      <c r="G186" s="2" t="n">
        <v>203.022</v>
      </c>
      <c r="H186">
        <f>ISNUMBER(F186)</f>
        <v/>
      </c>
      <c r="I186" s="2">
        <f>E186-D186</f>
        <v/>
      </c>
      <c r="J186" s="2">
        <f>IF(ISNUMBER(F186),F186-D186,"")</f>
        <v/>
      </c>
      <c r="K186" s="2">
        <f>G186-D186</f>
        <v/>
      </c>
      <c r="L186" s="2">
        <f>ABS(I186)</f>
        <v/>
      </c>
      <c r="M186" s="2">
        <f>IF(ISNUMBER(F186),ABS(F186-D186),"")</f>
        <v/>
      </c>
      <c r="N186" s="2">
        <f>ABS(K186)</f>
        <v/>
      </c>
      <c r="O186" s="3">
        <f>IF(D186=0,"",(E186-D186)/D186)</f>
        <v/>
      </c>
      <c r="P186" s="3">
        <f>IF(ISNUMBER(F186),IF(D186=0,"",(F186-D186)/D186),"")</f>
        <v/>
      </c>
      <c r="Q186" s="3">
        <f>IF(D186=0,"",(G186-D186)/D186)</f>
        <v/>
      </c>
    </row>
    <row r="187">
      <c r="A187" t="inlineStr">
        <is>
          <t>RF1/01/100gsm/2790mm</t>
        </is>
      </c>
      <c r="B187" t="inlineStr">
        <is>
          <t>SBUR</t>
        </is>
      </c>
      <c r="C187" t="inlineStr">
        <is>
          <t>2026-09</t>
        </is>
      </c>
      <c r="D187" s="2" t="n">
        <v>251.286</v>
      </c>
      <c r="E187" s="2" t="n">
        <v>232</v>
      </c>
      <c r="F187" s="2" t="n">
        <v>257</v>
      </c>
      <c r="G187" s="2" t="n">
        <v>233.27</v>
      </c>
      <c r="H187">
        <f>ISNUMBER(F187)</f>
        <v/>
      </c>
      <c r="I187" s="2">
        <f>E187-D187</f>
        <v/>
      </c>
      <c r="J187" s="2">
        <f>IF(ISNUMBER(F187),F187-D187,"")</f>
        <v/>
      </c>
      <c r="K187" s="2">
        <f>G187-D187</f>
        <v/>
      </c>
      <c r="L187" s="2">
        <f>ABS(I187)</f>
        <v/>
      </c>
      <c r="M187" s="2">
        <f>IF(ISNUMBER(F187),ABS(F187-D187),"")</f>
        <v/>
      </c>
      <c r="N187" s="2">
        <f>ABS(K187)</f>
        <v/>
      </c>
      <c r="O187" s="3">
        <f>IF(D187=0,"",(E187-D187)/D187)</f>
        <v/>
      </c>
      <c r="P187" s="3">
        <f>IF(ISNUMBER(F187),IF(D187=0,"",(F187-D187)/D187),"")</f>
        <v/>
      </c>
      <c r="Q187" s="3">
        <f>IF(D187=0,"",(G187-D187)/D187)</f>
        <v/>
      </c>
    </row>
    <row r="188">
      <c r="A188" t="inlineStr">
        <is>
          <t>THP/01/125gsm/2100mm</t>
        </is>
      </c>
      <c r="B188" t="inlineStr">
        <is>
          <t>SBUR</t>
        </is>
      </c>
      <c r="C188" t="inlineStr">
        <is>
          <t>2026-09</t>
        </is>
      </c>
      <c r="D188" s="2" t="n">
        <v>14.18</v>
      </c>
      <c r="E188" s="2" t="n">
        <v>20</v>
      </c>
      <c r="F188" s="2" t="n">
        <v>34</v>
      </c>
      <c r="G188" s="2" t="n">
        <v>23.711</v>
      </c>
      <c r="H188">
        <f>ISNUMBER(F188)</f>
        <v/>
      </c>
      <c r="I188" s="2">
        <f>E188-D188</f>
        <v/>
      </c>
      <c r="J188" s="2">
        <f>IF(ISNUMBER(F188),F188-D188,"")</f>
        <v/>
      </c>
      <c r="K188" s="2">
        <f>G188-D188</f>
        <v/>
      </c>
      <c r="L188" s="2">
        <f>ABS(I188)</f>
        <v/>
      </c>
      <c r="M188" s="2">
        <f>IF(ISNUMBER(F188),ABS(F188-D188),"")</f>
        <v/>
      </c>
      <c r="N188" s="2">
        <f>ABS(K188)</f>
        <v/>
      </c>
      <c r="O188" s="3">
        <f>IF(D188=0,"",(E188-D188)/D188)</f>
        <v/>
      </c>
      <c r="P188" s="3">
        <f>IF(ISNUMBER(F188),IF(D188=0,"",(F188-D188)/D188),"")</f>
        <v/>
      </c>
      <c r="Q188" s="3">
        <f>IF(D188=0,"",(G188-D188)/D188)</f>
        <v/>
      </c>
    </row>
    <row r="189">
      <c r="A189" t="inlineStr">
        <is>
          <t>THP/01/125gsm/2450mm</t>
        </is>
      </c>
      <c r="B189" t="inlineStr">
        <is>
          <t>SBUR</t>
        </is>
      </c>
      <c r="C189" t="inlineStr">
        <is>
          <t>2026-09</t>
        </is>
      </c>
      <c r="D189" s="2" t="n">
        <v>114.038</v>
      </c>
      <c r="E189" s="2" t="n">
        <v>158</v>
      </c>
      <c r="F189" s="2" t="n">
        <v>161</v>
      </c>
      <c r="G189" s="2" t="n">
        <v>169.276</v>
      </c>
      <c r="H189">
        <f>ISNUMBER(F189)</f>
        <v/>
      </c>
      <c r="I189" s="2">
        <f>E189-D189</f>
        <v/>
      </c>
      <c r="J189" s="2">
        <f>IF(ISNUMBER(F189),F189-D189,"")</f>
        <v/>
      </c>
      <c r="K189" s="2">
        <f>G189-D189</f>
        <v/>
      </c>
      <c r="L189" s="2">
        <f>ABS(I189)</f>
        <v/>
      </c>
      <c r="M189" s="2">
        <f>IF(ISNUMBER(F189),ABS(F189-D189),"")</f>
        <v/>
      </c>
      <c r="N189" s="2">
        <f>ABS(K189)</f>
        <v/>
      </c>
      <c r="O189" s="3">
        <f>IF(D189=0,"",(E189-D189)/D189)</f>
        <v/>
      </c>
      <c r="P189" s="3">
        <f>IF(ISNUMBER(F189),IF(D189=0,"",(F189-D189)/D189),"")</f>
        <v/>
      </c>
      <c r="Q189" s="3">
        <f>IF(D189=0,"",(G189-D189)/D189)</f>
        <v/>
      </c>
    </row>
    <row r="190">
      <c r="A190" t="inlineStr">
        <is>
          <t>THP/01/125gsm/2650mm</t>
        </is>
      </c>
      <c r="B190" t="inlineStr">
        <is>
          <t>SBUR</t>
        </is>
      </c>
      <c r="C190" t="inlineStr">
        <is>
          <t>2026-09</t>
        </is>
      </c>
      <c r="D190" s="2" t="n">
        <v>281.883</v>
      </c>
      <c r="E190" s="2" t="n">
        <v>318</v>
      </c>
      <c r="F190" s="2" t="n">
        <v>246</v>
      </c>
      <c r="G190" s="2" t="n">
        <v>283.889</v>
      </c>
      <c r="H190">
        <f>ISNUMBER(F190)</f>
        <v/>
      </c>
      <c r="I190" s="2">
        <f>E190-D190</f>
        <v/>
      </c>
      <c r="J190" s="2">
        <f>IF(ISNUMBER(F190),F190-D190,"")</f>
        <v/>
      </c>
      <c r="K190" s="2">
        <f>G190-D190</f>
        <v/>
      </c>
      <c r="L190" s="2">
        <f>ABS(I190)</f>
        <v/>
      </c>
      <c r="M190" s="2">
        <f>IF(ISNUMBER(F190),ABS(F190-D190),"")</f>
        <v/>
      </c>
      <c r="N190" s="2">
        <f>ABS(K190)</f>
        <v/>
      </c>
      <c r="O190" s="3">
        <f>IF(D190=0,"",(E190-D190)/D190)</f>
        <v/>
      </c>
      <c r="P190" s="3">
        <f>IF(ISNUMBER(F190),IF(D190=0,"",(F190-D190)/D190),"")</f>
        <v/>
      </c>
      <c r="Q190" s="3">
        <f>IF(D190=0,"",(G190-D190)/D190)</f>
        <v/>
      </c>
    </row>
    <row r="191">
      <c r="A191" t="inlineStr">
        <is>
          <t>THP/01/125gsm/2800mm</t>
        </is>
      </c>
      <c r="B191" t="inlineStr">
        <is>
          <t>SBUR</t>
        </is>
      </c>
      <c r="C191" t="inlineStr">
        <is>
          <t>2026-09</t>
        </is>
      </c>
      <c r="D191" s="2" t="n">
        <v>307.935</v>
      </c>
      <c r="E191" s="2" t="n">
        <v>328</v>
      </c>
      <c r="F191" s="2" t="n">
        <v>333</v>
      </c>
      <c r="G191" s="2" t="n">
        <v>289.551</v>
      </c>
      <c r="H191">
        <f>ISNUMBER(F191)</f>
        <v/>
      </c>
      <c r="I191" s="2">
        <f>E191-D191</f>
        <v/>
      </c>
      <c r="J191" s="2">
        <f>IF(ISNUMBER(F191),F191-D191,"")</f>
        <v/>
      </c>
      <c r="K191" s="2">
        <f>G191-D191</f>
        <v/>
      </c>
      <c r="L191" s="2">
        <f>ABS(I191)</f>
        <v/>
      </c>
      <c r="M191" s="2">
        <f>IF(ISNUMBER(F191),ABS(F191-D191),"")</f>
        <v/>
      </c>
      <c r="N191" s="2">
        <f>ABS(K191)</f>
        <v/>
      </c>
      <c r="O191" s="3">
        <f>IF(D191=0,"",(E191-D191)/D191)</f>
        <v/>
      </c>
      <c r="P191" s="3">
        <f>IF(ISNUMBER(F191),IF(D191=0,"",(F191-D191)/D191),"")</f>
        <v/>
      </c>
      <c r="Q191" s="3">
        <f>IF(D191=0,"",(G191-D191)/D191)</f>
        <v/>
      </c>
    </row>
    <row r="192">
      <c r="A192" t="inlineStr">
        <is>
          <t>TSL/01/100gsm/2450mm</t>
        </is>
      </c>
      <c r="B192" t="inlineStr">
        <is>
          <t>SBUR</t>
        </is>
      </c>
      <c r="C192" t="inlineStr">
        <is>
          <t>2026-09</t>
        </is>
      </c>
      <c r="D192" s="2" t="n">
        <v>33.336</v>
      </c>
      <c r="E192" s="2" t="n">
        <v>38</v>
      </c>
      <c r="F192" s="2" t="n">
        <v>47</v>
      </c>
      <c r="G192" s="2" t="n">
        <v>36.872</v>
      </c>
      <c r="H192">
        <f>ISNUMBER(F192)</f>
        <v/>
      </c>
      <c r="I192" s="2">
        <f>E192-D192</f>
        <v/>
      </c>
      <c r="J192" s="2">
        <f>IF(ISNUMBER(F192),F192-D192,"")</f>
        <v/>
      </c>
      <c r="K192" s="2">
        <f>G192-D192</f>
        <v/>
      </c>
      <c r="L192" s="2">
        <f>ABS(I192)</f>
        <v/>
      </c>
      <c r="M192" s="2">
        <f>IF(ISNUMBER(F192),ABS(F192-D192),"")</f>
        <v/>
      </c>
      <c r="N192" s="2">
        <f>ABS(K192)</f>
        <v/>
      </c>
      <c r="O192" s="3">
        <f>IF(D192=0,"",(E192-D192)/D192)</f>
        <v/>
      </c>
      <c r="P192" s="3">
        <f>IF(ISNUMBER(F192),IF(D192=0,"",(F192-D192)/D192),"")</f>
        <v/>
      </c>
      <c r="Q192" s="3">
        <f>IF(D192=0,"",(G192-D192)/D192)</f>
        <v/>
      </c>
    </row>
    <row r="193">
      <c r="A193" t="inlineStr">
        <is>
          <t>TSL/01/100gsm/2650mm</t>
        </is>
      </c>
      <c r="B193" t="inlineStr">
        <is>
          <t>SBUR</t>
        </is>
      </c>
      <c r="C193" t="inlineStr">
        <is>
          <t>2026-09</t>
        </is>
      </c>
      <c r="D193" s="2" t="n">
        <v>72.19799999999999</v>
      </c>
      <c r="E193" s="2" t="n">
        <v>59</v>
      </c>
      <c r="F193" s="2" t="n">
        <v>50</v>
      </c>
      <c r="G193" s="2" t="n">
        <v>58.664</v>
      </c>
      <c r="H193">
        <f>ISNUMBER(F193)</f>
        <v/>
      </c>
      <c r="I193" s="2">
        <f>E193-D193</f>
        <v/>
      </c>
      <c r="J193" s="2">
        <f>IF(ISNUMBER(F193),F193-D193,"")</f>
        <v/>
      </c>
      <c r="K193" s="2">
        <f>G193-D193</f>
        <v/>
      </c>
      <c r="L193" s="2">
        <f>ABS(I193)</f>
        <v/>
      </c>
      <c r="M193" s="2">
        <f>IF(ISNUMBER(F193),ABS(F193-D193),"")</f>
        <v/>
      </c>
      <c r="N193" s="2">
        <f>ABS(K193)</f>
        <v/>
      </c>
      <c r="O193" s="3">
        <f>IF(D193=0,"",(E193-D193)/D193)</f>
        <v/>
      </c>
      <c r="P193" s="3">
        <f>IF(ISNUMBER(F193),IF(D193=0,"",(F193-D193)/D193),"")</f>
        <v/>
      </c>
      <c r="Q193" s="3">
        <f>IF(D193=0,"",(G193-D193)/D193)</f>
        <v/>
      </c>
    </row>
    <row r="194">
      <c r="A194" t="inlineStr">
        <is>
          <t>TSL/01/100gsm/2800mm</t>
        </is>
      </c>
      <c r="B194" t="inlineStr">
        <is>
          <t>SBUR</t>
        </is>
      </c>
      <c r="C194" t="inlineStr">
        <is>
          <t>2026-09</t>
        </is>
      </c>
      <c r="D194" s="2" t="n">
        <v>80.922</v>
      </c>
      <c r="E194" s="2" t="n">
        <v>74</v>
      </c>
      <c r="F194" s="2" t="n">
        <v>89</v>
      </c>
      <c r="G194" s="2" t="n">
        <v>68.416</v>
      </c>
      <c r="H194">
        <f>ISNUMBER(F194)</f>
        <v/>
      </c>
      <c r="I194" s="2">
        <f>E194-D194</f>
        <v/>
      </c>
      <c r="J194" s="2">
        <f>IF(ISNUMBER(F194),F194-D194,"")</f>
        <v/>
      </c>
      <c r="K194" s="2">
        <f>G194-D194</f>
        <v/>
      </c>
      <c r="L194" s="2">
        <f>ABS(I194)</f>
        <v/>
      </c>
      <c r="M194" s="2">
        <f>IF(ISNUMBER(F194),ABS(F194-D194),"")</f>
        <v/>
      </c>
      <c r="N194" s="2">
        <f>ABS(K194)</f>
        <v/>
      </c>
      <c r="O194" s="3">
        <f>IF(D194=0,"",(E194-D194)/D194)</f>
        <v/>
      </c>
      <c r="P194" s="3">
        <f>IF(ISNUMBER(F194),IF(D194=0,"",(F194-D194)/D194),"")</f>
        <v/>
      </c>
      <c r="Q194" s="3">
        <f>IF(D194=0,"",(G194-D194)/D194)</f>
        <v/>
      </c>
    </row>
    <row r="195">
      <c r="A195" t="inlineStr">
        <is>
          <t>TSL/01/150gsm/2100mm</t>
        </is>
      </c>
      <c r="B195" t="inlineStr">
        <is>
          <t>SBUR</t>
        </is>
      </c>
      <c r="C195" t="inlineStr">
        <is>
          <t>2026-09</t>
        </is>
      </c>
      <c r="D195" s="2" t="n">
        <v>36.603</v>
      </c>
      <c r="E195" s="2" t="n">
        <v>34</v>
      </c>
      <c r="F195" s="2" t="n">
        <v>43</v>
      </c>
      <c r="G195" s="2" t="n">
        <v>48.575</v>
      </c>
      <c r="H195">
        <f>ISNUMBER(F195)</f>
        <v/>
      </c>
      <c r="I195" s="2">
        <f>E195-D195</f>
        <v/>
      </c>
      <c r="J195" s="2">
        <f>IF(ISNUMBER(F195),F195-D195,"")</f>
        <v/>
      </c>
      <c r="K195" s="2">
        <f>G195-D195</f>
        <v/>
      </c>
      <c r="L195" s="2">
        <f>ABS(I195)</f>
        <v/>
      </c>
      <c r="M195" s="2">
        <f>IF(ISNUMBER(F195),ABS(F195-D195),"")</f>
        <v/>
      </c>
      <c r="N195" s="2">
        <f>ABS(K195)</f>
        <v/>
      </c>
      <c r="O195" s="3">
        <f>IF(D195=0,"",(E195-D195)/D195)</f>
        <v/>
      </c>
      <c r="P195" s="3">
        <f>IF(ISNUMBER(F195),IF(D195=0,"",(F195-D195)/D195),"")</f>
        <v/>
      </c>
      <c r="Q195" s="3">
        <f>IF(D195=0,"",(G195-D195)/D195)</f>
        <v/>
      </c>
    </row>
    <row r="196">
      <c r="A196" t="inlineStr">
        <is>
          <t>TSL/01/150gsm/2650mm</t>
        </is>
      </c>
      <c r="B196" t="inlineStr">
        <is>
          <t>SBUR</t>
        </is>
      </c>
      <c r="C196" t="inlineStr">
        <is>
          <t>2026-09</t>
        </is>
      </c>
      <c r="D196" s="2" t="n">
        <v>79.69799999999999</v>
      </c>
      <c r="E196" s="2" t="n">
        <v>71</v>
      </c>
      <c r="F196" s="2" t="n">
        <v>48</v>
      </c>
      <c r="G196" s="2" t="n">
        <v>69.06699999999999</v>
      </c>
      <c r="H196">
        <f>ISNUMBER(F196)</f>
        <v/>
      </c>
      <c r="I196" s="2">
        <f>E196-D196</f>
        <v/>
      </c>
      <c r="J196" s="2">
        <f>IF(ISNUMBER(F196),F196-D196,"")</f>
        <v/>
      </c>
      <c r="K196" s="2">
        <f>G196-D196</f>
        <v/>
      </c>
      <c r="L196" s="2">
        <f>ABS(I196)</f>
        <v/>
      </c>
      <c r="M196" s="2">
        <f>IF(ISNUMBER(F196),ABS(F196-D196),"")</f>
        <v/>
      </c>
      <c r="N196" s="2">
        <f>ABS(K196)</f>
        <v/>
      </c>
      <c r="O196" s="3">
        <f>IF(D196=0,"",(E196-D196)/D196)</f>
        <v/>
      </c>
      <c r="P196" s="3">
        <f>IF(ISNUMBER(F196),IF(D196=0,"",(F196-D196)/D196),"")</f>
        <v/>
      </c>
      <c r="Q196" s="3">
        <f>IF(D196=0,"",(G196-D196)/D196)</f>
        <v/>
      </c>
    </row>
    <row r="197">
      <c r="A197" t="inlineStr">
        <is>
          <t>TSL/01/150gsm/2800mm</t>
        </is>
      </c>
      <c r="B197" t="inlineStr">
        <is>
          <t>SBUR</t>
        </is>
      </c>
      <c r="C197" t="inlineStr">
        <is>
          <t>2026-09</t>
        </is>
      </c>
      <c r="D197" s="2" t="n">
        <v>57.885</v>
      </c>
      <c r="E197" s="2" t="n">
        <v>71</v>
      </c>
      <c r="F197" s="2" t="n">
        <v>56</v>
      </c>
      <c r="G197" s="2" t="n">
        <v>64.27800000000001</v>
      </c>
      <c r="H197">
        <f>ISNUMBER(F197)</f>
        <v/>
      </c>
      <c r="I197" s="2">
        <f>E197-D197</f>
        <v/>
      </c>
      <c r="J197" s="2">
        <f>IF(ISNUMBER(F197),F197-D197,"")</f>
        <v/>
      </c>
      <c r="K197" s="2">
        <f>G197-D197</f>
        <v/>
      </c>
      <c r="L197" s="2">
        <f>ABS(I197)</f>
        <v/>
      </c>
      <c r="M197" s="2">
        <f>IF(ISNUMBER(F197),ABS(F197-D197),"")</f>
        <v/>
      </c>
      <c r="N197" s="2">
        <f>ABS(K197)</f>
        <v/>
      </c>
      <c r="O197" s="3">
        <f>IF(D197=0,"",(E197-D197)/D197)</f>
        <v/>
      </c>
      <c r="P197" s="3">
        <f>IF(ISNUMBER(F197),IF(D197=0,"",(F197-D197)/D197),"")</f>
        <v/>
      </c>
      <c r="Q197" s="3">
        <f>IF(D197=0,"",(G197-D197)/D197)</f>
        <v/>
      </c>
    </row>
    <row r="198">
      <c r="A198" t="inlineStr">
        <is>
          <t>TSL/01/80gsm/2450mm</t>
        </is>
      </c>
      <c r="B198" t="inlineStr">
        <is>
          <t>SBUR</t>
        </is>
      </c>
      <c r="C198" t="inlineStr">
        <is>
          <t>2026-09</t>
        </is>
      </c>
      <c r="D198" s="2" t="n">
        <v>57.472</v>
      </c>
      <c r="E198" s="2" t="n">
        <v>52</v>
      </c>
      <c r="F198" s="2" t="n">
        <v>49</v>
      </c>
      <c r="G198" s="2" t="n">
        <v>49.548</v>
      </c>
      <c r="H198">
        <f>ISNUMBER(F198)</f>
        <v/>
      </c>
      <c r="I198" s="2">
        <f>E198-D198</f>
        <v/>
      </c>
      <c r="J198" s="2">
        <f>IF(ISNUMBER(F198),F198-D198,"")</f>
        <v/>
      </c>
      <c r="K198" s="2">
        <f>G198-D198</f>
        <v/>
      </c>
      <c r="L198" s="2">
        <f>ABS(I198)</f>
        <v/>
      </c>
      <c r="M198" s="2">
        <f>IF(ISNUMBER(F198),ABS(F198-D198),"")</f>
        <v/>
      </c>
      <c r="N198" s="2">
        <f>ABS(K198)</f>
        <v/>
      </c>
      <c r="O198" s="3">
        <f>IF(D198=0,"",(E198-D198)/D198)</f>
        <v/>
      </c>
      <c r="P198" s="3">
        <f>IF(ISNUMBER(F198),IF(D198=0,"",(F198-D198)/D198),"")</f>
        <v/>
      </c>
      <c r="Q198" s="3">
        <f>IF(D198=0,"",(G198-D198)/D198)</f>
        <v/>
      </c>
    </row>
    <row r="199">
      <c r="A199" t="inlineStr">
        <is>
          <t>TSL/01/80gsm/2650mm</t>
        </is>
      </c>
      <c r="B199" t="inlineStr">
        <is>
          <t>SBUR</t>
        </is>
      </c>
      <c r="C199" t="inlineStr">
        <is>
          <t>2026-09</t>
        </is>
      </c>
      <c r="D199" s="2" t="n">
        <v>19.053</v>
      </c>
      <c r="E199" s="2" t="n">
        <v>22</v>
      </c>
      <c r="F199" s="2" t="n">
        <v>30</v>
      </c>
      <c r="G199" s="2" t="n">
        <v>24.616</v>
      </c>
      <c r="H199">
        <f>ISNUMBER(F199)</f>
        <v/>
      </c>
      <c r="I199" s="2">
        <f>E199-D199</f>
        <v/>
      </c>
      <c r="J199" s="2">
        <f>IF(ISNUMBER(F199),F199-D199,"")</f>
        <v/>
      </c>
      <c r="K199" s="2">
        <f>G199-D199</f>
        <v/>
      </c>
      <c r="L199" s="2">
        <f>ABS(I199)</f>
        <v/>
      </c>
      <c r="M199" s="2">
        <f>IF(ISNUMBER(F199),ABS(F199-D199),"")</f>
        <v/>
      </c>
      <c r="N199" s="2">
        <f>ABS(K199)</f>
        <v/>
      </c>
      <c r="O199" s="3">
        <f>IF(D199=0,"",(E199-D199)/D199)</f>
        <v/>
      </c>
      <c r="P199" s="3">
        <f>IF(ISNUMBER(F199),IF(D199=0,"",(F199-D199)/D199),"")</f>
        <v/>
      </c>
      <c r="Q199" s="3">
        <f>IF(D199=0,"",(G199-D199)/D199)</f>
        <v/>
      </c>
    </row>
    <row r="200">
      <c r="A200" t="inlineStr">
        <is>
          <t>TSL/01/80gsm/2800mm</t>
        </is>
      </c>
      <c r="B200" t="inlineStr">
        <is>
          <t>SBUR</t>
        </is>
      </c>
      <c r="C200" t="inlineStr">
        <is>
          <t>2026-09</t>
        </is>
      </c>
      <c r="D200" s="2" t="n">
        <v>44.462</v>
      </c>
      <c r="E200" s="2" t="n">
        <v>45</v>
      </c>
      <c r="F200" s="2" t="n">
        <v>51</v>
      </c>
      <c r="G200" s="2" t="n">
        <v>53.037</v>
      </c>
      <c r="H200">
        <f>ISNUMBER(F200)</f>
        <v/>
      </c>
      <c r="I200" s="2">
        <f>E200-D200</f>
        <v/>
      </c>
      <c r="J200" s="2">
        <f>IF(ISNUMBER(F200),F200-D200,"")</f>
        <v/>
      </c>
      <c r="K200" s="2">
        <f>G200-D200</f>
        <v/>
      </c>
      <c r="L200" s="2">
        <f>ABS(I200)</f>
        <v/>
      </c>
      <c r="M200" s="2">
        <f>IF(ISNUMBER(F200),ABS(F200-D200),"")</f>
        <v/>
      </c>
      <c r="N200" s="2">
        <f>ABS(K200)</f>
        <v/>
      </c>
      <c r="O200" s="3">
        <f>IF(D200=0,"",(E200-D200)/D200)</f>
        <v/>
      </c>
      <c r="P200" s="3">
        <f>IF(ISNUMBER(F200),IF(D200=0,"",(F200-D200)/D200),"")</f>
        <v/>
      </c>
      <c r="Q200" s="3">
        <f>IF(D200=0,"",(G200-D200)/D200)</f>
        <v/>
      </c>
    </row>
    <row r="201">
      <c r="A201" t="inlineStr">
        <is>
          <t>TWTC2/51/115gsm/2450mm</t>
        </is>
      </c>
      <c r="B201" t="inlineStr">
        <is>
          <t>SBUR</t>
        </is>
      </c>
      <c r="C201" t="inlineStr">
        <is>
          <t>2026-09</t>
        </is>
      </c>
      <c r="D201" s="2" t="n">
        <v>25.911</v>
      </c>
      <c r="E201" s="2" t="n">
        <v>26</v>
      </c>
      <c r="F201" s="2" t="n">
        <v>39</v>
      </c>
      <c r="G201" s="2" t="n">
        <v>25.584</v>
      </c>
      <c r="H201">
        <f>ISNUMBER(F201)</f>
        <v/>
      </c>
      <c r="I201" s="2">
        <f>E201-D201</f>
        <v/>
      </c>
      <c r="J201" s="2">
        <f>IF(ISNUMBER(F201),F201-D201,"")</f>
        <v/>
      </c>
      <c r="K201" s="2">
        <f>G201-D201</f>
        <v/>
      </c>
      <c r="L201" s="2">
        <f>ABS(I201)</f>
        <v/>
      </c>
      <c r="M201" s="2">
        <f>IF(ISNUMBER(F201),ABS(F201-D201),"")</f>
        <v/>
      </c>
      <c r="N201" s="2">
        <f>ABS(K201)</f>
        <v/>
      </c>
      <c r="O201" s="3">
        <f>IF(D201=0,"",(E201-D201)/D201)</f>
        <v/>
      </c>
      <c r="P201" s="3">
        <f>IF(ISNUMBER(F201),IF(D201=0,"",(F201-D201)/D201),"")</f>
        <v/>
      </c>
      <c r="Q201" s="3">
        <f>IF(D201=0,"",(G201-D201)/D201)</f>
        <v/>
      </c>
    </row>
    <row r="202">
      <c r="A202" t="inlineStr">
        <is>
          <t>TWTC2/51/115gsm/2650mm</t>
        </is>
      </c>
      <c r="B202" t="inlineStr">
        <is>
          <t>SBUR</t>
        </is>
      </c>
      <c r="C202" t="inlineStr">
        <is>
          <t>2026-09</t>
        </is>
      </c>
      <c r="D202" s="2" t="n">
        <v>57.496</v>
      </c>
      <c r="E202" s="2" t="n">
        <v>39</v>
      </c>
      <c r="F202" s="2" t="n">
        <v>35</v>
      </c>
      <c r="G202" s="2" t="n">
        <v>40.355</v>
      </c>
      <c r="H202">
        <f>ISNUMBER(F202)</f>
        <v/>
      </c>
      <c r="I202" s="2">
        <f>E202-D202</f>
        <v/>
      </c>
      <c r="J202" s="2">
        <f>IF(ISNUMBER(F202),F202-D202,"")</f>
        <v/>
      </c>
      <c r="K202" s="2">
        <f>G202-D202</f>
        <v/>
      </c>
      <c r="L202" s="2">
        <f>ABS(I202)</f>
        <v/>
      </c>
      <c r="M202" s="2">
        <f>IF(ISNUMBER(F202),ABS(F202-D202),"")</f>
        <v/>
      </c>
      <c r="N202" s="2">
        <f>ABS(K202)</f>
        <v/>
      </c>
      <c r="O202" s="3">
        <f>IF(D202=0,"",(E202-D202)/D202)</f>
        <v/>
      </c>
      <c r="P202" s="3">
        <f>IF(ISNUMBER(F202),IF(D202=0,"",(F202-D202)/D202),"")</f>
        <v/>
      </c>
      <c r="Q202" s="3">
        <f>IF(D202=0,"",(G202-D202)/D202)</f>
        <v/>
      </c>
    </row>
    <row r="203">
      <c r="A203" t="inlineStr">
        <is>
          <t>HP1/01/190gsm/2090mm</t>
        </is>
      </c>
      <c r="B203" t="inlineStr">
        <is>
          <t>SCAN</t>
        </is>
      </c>
      <c r="C203" t="inlineStr">
        <is>
          <t>2026-09</t>
        </is>
      </c>
      <c r="D203" s="2" t="n">
        <v>15.168</v>
      </c>
      <c r="E203" s="2" t="n">
        <v>28</v>
      </c>
      <c r="F203" s="2" t="n">
        <v>40.936</v>
      </c>
      <c r="G203" s="2" t="n">
        <v>24.831</v>
      </c>
      <c r="H203">
        <f>ISNUMBER(F203)</f>
        <v/>
      </c>
      <c r="I203" s="2">
        <f>E203-D203</f>
        <v/>
      </c>
      <c r="J203" s="2">
        <f>IF(ISNUMBER(F203),F203-D203,"")</f>
        <v/>
      </c>
      <c r="K203" s="2">
        <f>G203-D203</f>
        <v/>
      </c>
      <c r="L203" s="2">
        <f>ABS(I203)</f>
        <v/>
      </c>
      <c r="M203" s="2">
        <f>IF(ISNUMBER(F203),ABS(F203-D203),"")</f>
        <v/>
      </c>
      <c r="N203" s="2">
        <f>ABS(K203)</f>
        <v/>
      </c>
      <c r="O203" s="3">
        <f>IF(D203=0,"",(E203-D203)/D203)</f>
        <v/>
      </c>
      <c r="P203" s="3">
        <f>IF(ISNUMBER(F203),IF(D203=0,"",(F203-D203)/D203),"")</f>
        <v/>
      </c>
      <c r="Q203" s="3">
        <f>IF(D203=0,"",(G203-D203)/D203)</f>
        <v/>
      </c>
    </row>
    <row r="204">
      <c r="A204" t="inlineStr">
        <is>
          <t>HP1/01/190gsm/2290mm</t>
        </is>
      </c>
      <c r="B204" t="inlineStr">
        <is>
          <t>SCAN</t>
        </is>
      </c>
      <c r="C204" t="inlineStr">
        <is>
          <t>2026-09</t>
        </is>
      </c>
      <c r="D204" s="2" t="n">
        <v>39.792</v>
      </c>
      <c r="E204" s="2" t="n">
        <v>50</v>
      </c>
      <c r="F204" s="2" t="n">
        <v>69.551</v>
      </c>
      <c r="G204" s="2" t="n">
        <v>48.028</v>
      </c>
      <c r="H204">
        <f>ISNUMBER(F204)</f>
        <v/>
      </c>
      <c r="I204" s="2">
        <f>E204-D204</f>
        <v/>
      </c>
      <c r="J204" s="2">
        <f>IF(ISNUMBER(F204),F204-D204,"")</f>
        <v/>
      </c>
      <c r="K204" s="2">
        <f>G204-D204</f>
        <v/>
      </c>
      <c r="L204" s="2">
        <f>ABS(I204)</f>
        <v/>
      </c>
      <c r="M204" s="2">
        <f>IF(ISNUMBER(F204),ABS(F204-D204),"")</f>
        <v/>
      </c>
      <c r="N204" s="2">
        <f>ABS(K204)</f>
        <v/>
      </c>
      <c r="O204" s="3">
        <f>IF(D204=0,"",(E204-D204)/D204)</f>
        <v/>
      </c>
      <c r="P204" s="3">
        <f>IF(ISNUMBER(F204),IF(D204=0,"",(F204-D204)/D204),"")</f>
        <v/>
      </c>
      <c r="Q204" s="3">
        <f>IF(D204=0,"",(G204-D204)/D204)</f>
        <v/>
      </c>
    </row>
    <row r="205">
      <c r="A205" t="inlineStr">
        <is>
          <t>HP1/01/190gsm/2440mm</t>
        </is>
      </c>
      <c r="B205" t="inlineStr">
        <is>
          <t>SCAN</t>
        </is>
      </c>
      <c r="C205" t="inlineStr">
        <is>
          <t>2026-09</t>
        </is>
      </c>
      <c r="D205" s="2" t="n">
        <v>100.014</v>
      </c>
      <c r="E205" s="2" t="n">
        <v>90</v>
      </c>
      <c r="F205" s="2" t="n">
        <v>111.442</v>
      </c>
      <c r="G205" s="2" t="n">
        <v>80.22799999999999</v>
      </c>
      <c r="H205">
        <f>ISNUMBER(F205)</f>
        <v/>
      </c>
      <c r="I205" s="2">
        <f>E205-D205</f>
        <v/>
      </c>
      <c r="J205" s="2">
        <f>IF(ISNUMBER(F205),F205-D205,"")</f>
        <v/>
      </c>
      <c r="K205" s="2">
        <f>G205-D205</f>
        <v/>
      </c>
      <c r="L205" s="2">
        <f>ABS(I205)</f>
        <v/>
      </c>
      <c r="M205" s="2">
        <f>IF(ISNUMBER(F205),ABS(F205-D205),"")</f>
        <v/>
      </c>
      <c r="N205" s="2">
        <f>ABS(K205)</f>
        <v/>
      </c>
      <c r="O205" s="3">
        <f>IF(D205=0,"",(E205-D205)/D205)</f>
        <v/>
      </c>
      <c r="P205" s="3">
        <f>IF(ISNUMBER(F205),IF(D205=0,"",(F205-D205)/D205),"")</f>
        <v/>
      </c>
      <c r="Q205" s="3">
        <f>IF(D205=0,"",(G205-D205)/D205)</f>
        <v/>
      </c>
    </row>
    <row r="206">
      <c r="A206" t="inlineStr">
        <is>
          <t>HP2/01/105gsm/2090mm</t>
        </is>
      </c>
      <c r="B206" t="inlineStr">
        <is>
          <t>SCAN</t>
        </is>
      </c>
      <c r="C206" t="inlineStr">
        <is>
          <t>2026-09</t>
        </is>
      </c>
      <c r="D206" s="2" t="n">
        <v>55.503</v>
      </c>
      <c r="E206" s="2" t="n">
        <v>92</v>
      </c>
      <c r="F206" s="2" t="n">
        <v>59.261</v>
      </c>
      <c r="G206" s="2" t="n">
        <v>74.71299999999999</v>
      </c>
      <c r="H206">
        <f>ISNUMBER(F206)</f>
        <v/>
      </c>
      <c r="I206" s="2">
        <f>E206-D206</f>
        <v/>
      </c>
      <c r="J206" s="2">
        <f>IF(ISNUMBER(F206),F206-D206,"")</f>
        <v/>
      </c>
      <c r="K206" s="2">
        <f>G206-D206</f>
        <v/>
      </c>
      <c r="L206" s="2">
        <f>ABS(I206)</f>
        <v/>
      </c>
      <c r="M206" s="2">
        <f>IF(ISNUMBER(F206),ABS(F206-D206),"")</f>
        <v/>
      </c>
      <c r="N206" s="2">
        <f>ABS(K206)</f>
        <v/>
      </c>
      <c r="O206" s="3">
        <f>IF(D206=0,"",(E206-D206)/D206)</f>
        <v/>
      </c>
      <c r="P206" s="3">
        <f>IF(ISNUMBER(F206),IF(D206=0,"",(F206-D206)/D206),"")</f>
        <v/>
      </c>
      <c r="Q206" s="3">
        <f>IF(D206=0,"",(G206-D206)/D206)</f>
        <v/>
      </c>
    </row>
    <row r="207">
      <c r="A207" t="inlineStr">
        <is>
          <t>HP2/01/105gsm/2290mm</t>
        </is>
      </c>
      <c r="B207" t="inlineStr">
        <is>
          <t>SCAN</t>
        </is>
      </c>
      <c r="C207" t="inlineStr">
        <is>
          <t>2026-09</t>
        </is>
      </c>
      <c r="D207" s="2" t="n">
        <v>107.833</v>
      </c>
      <c r="E207" s="2" t="n">
        <v>100</v>
      </c>
      <c r="F207" s="2" t="n">
        <v>149.212</v>
      </c>
      <c r="G207" s="2" t="n">
        <v>111.422</v>
      </c>
      <c r="H207">
        <f>ISNUMBER(F207)</f>
        <v/>
      </c>
      <c r="I207" s="2">
        <f>E207-D207</f>
        <v/>
      </c>
      <c r="J207" s="2">
        <f>IF(ISNUMBER(F207),F207-D207,"")</f>
        <v/>
      </c>
      <c r="K207" s="2">
        <f>G207-D207</f>
        <v/>
      </c>
      <c r="L207" s="2">
        <f>ABS(I207)</f>
        <v/>
      </c>
      <c r="M207" s="2">
        <f>IF(ISNUMBER(F207),ABS(F207-D207),"")</f>
        <v/>
      </c>
      <c r="N207" s="2">
        <f>ABS(K207)</f>
        <v/>
      </c>
      <c r="O207" s="3">
        <f>IF(D207=0,"",(E207-D207)/D207)</f>
        <v/>
      </c>
      <c r="P207" s="3">
        <f>IF(ISNUMBER(F207),IF(D207=0,"",(F207-D207)/D207),"")</f>
        <v/>
      </c>
      <c r="Q207" s="3">
        <f>IF(D207=0,"",(G207-D207)/D207)</f>
        <v/>
      </c>
    </row>
    <row r="208">
      <c r="A208" t="inlineStr">
        <is>
          <t>HP2/01/105gsm/2440mm</t>
        </is>
      </c>
      <c r="B208" t="inlineStr">
        <is>
          <t>SCAN</t>
        </is>
      </c>
      <c r="C208" t="inlineStr">
        <is>
          <t>2026-09</t>
        </is>
      </c>
      <c r="D208" s="2" t="n">
        <v>287.248</v>
      </c>
      <c r="E208" s="2" t="n">
        <v>240</v>
      </c>
      <c r="F208" s="2" t="n">
        <v>269.395</v>
      </c>
      <c r="G208" s="2" t="n">
        <v>247.555</v>
      </c>
      <c r="H208">
        <f>ISNUMBER(F208)</f>
        <v/>
      </c>
      <c r="I208" s="2">
        <f>E208-D208</f>
        <v/>
      </c>
      <c r="J208" s="2">
        <f>IF(ISNUMBER(F208),F208-D208,"")</f>
        <v/>
      </c>
      <c r="K208" s="2">
        <f>G208-D208</f>
        <v/>
      </c>
      <c r="L208" s="2">
        <f>ABS(I208)</f>
        <v/>
      </c>
      <c r="M208" s="2">
        <f>IF(ISNUMBER(F208),ABS(F208-D208),"")</f>
        <v/>
      </c>
      <c r="N208" s="2">
        <f>ABS(K208)</f>
        <v/>
      </c>
      <c r="O208" s="3">
        <f>IF(D208=0,"",(E208-D208)/D208)</f>
        <v/>
      </c>
      <c r="P208" s="3">
        <f>IF(ISNUMBER(F208),IF(D208=0,"",(F208-D208)/D208),"")</f>
        <v/>
      </c>
      <c r="Q208" s="3">
        <f>IF(D208=0,"",(G208-D208)/D208)</f>
        <v/>
      </c>
    </row>
    <row r="209">
      <c r="A209" t="inlineStr">
        <is>
          <t>HP2/01/125gsm/2090mm</t>
        </is>
      </c>
      <c r="B209" t="inlineStr">
        <is>
          <t>SCAN</t>
        </is>
      </c>
      <c r="C209" t="inlineStr">
        <is>
          <t>2026-09</t>
        </is>
      </c>
      <c r="D209" s="2" t="n">
        <v>102.879</v>
      </c>
      <c r="E209" s="2" t="n">
        <v>146</v>
      </c>
      <c r="F209" s="2" t="n">
        <v>139.941</v>
      </c>
      <c r="G209" s="2" t="n">
        <v>121.589</v>
      </c>
      <c r="H209">
        <f>ISNUMBER(F209)</f>
        <v/>
      </c>
      <c r="I209" s="2">
        <f>E209-D209</f>
        <v/>
      </c>
      <c r="J209" s="2">
        <f>IF(ISNUMBER(F209),F209-D209,"")</f>
        <v/>
      </c>
      <c r="K209" s="2">
        <f>G209-D209</f>
        <v/>
      </c>
      <c r="L209" s="2">
        <f>ABS(I209)</f>
        <v/>
      </c>
      <c r="M209" s="2">
        <f>IF(ISNUMBER(F209),ABS(F209-D209),"")</f>
        <v/>
      </c>
      <c r="N209" s="2">
        <f>ABS(K209)</f>
        <v/>
      </c>
      <c r="O209" s="3">
        <f>IF(D209=0,"",(E209-D209)/D209)</f>
        <v/>
      </c>
      <c r="P209" s="3">
        <f>IF(ISNUMBER(F209),IF(D209=0,"",(F209-D209)/D209),"")</f>
        <v/>
      </c>
      <c r="Q209" s="3">
        <f>IF(D209=0,"",(G209-D209)/D209)</f>
        <v/>
      </c>
    </row>
    <row r="210">
      <c r="A210" t="inlineStr">
        <is>
          <t>HP2/01/125gsm/2290mm</t>
        </is>
      </c>
      <c r="B210" t="inlineStr">
        <is>
          <t>SCAN</t>
        </is>
      </c>
      <c r="C210" t="inlineStr">
        <is>
          <t>2026-09</t>
        </is>
      </c>
      <c r="D210" s="2" t="n">
        <v>204.964</v>
      </c>
      <c r="E210" s="2" t="n">
        <v>186</v>
      </c>
      <c r="F210" s="2" t="n">
        <v>233.529</v>
      </c>
      <c r="G210" s="2" t="n">
        <v>184.331</v>
      </c>
      <c r="H210">
        <f>ISNUMBER(F210)</f>
        <v/>
      </c>
      <c r="I210" s="2">
        <f>E210-D210</f>
        <v/>
      </c>
      <c r="J210" s="2">
        <f>IF(ISNUMBER(F210),F210-D210,"")</f>
        <v/>
      </c>
      <c r="K210" s="2">
        <f>G210-D210</f>
        <v/>
      </c>
      <c r="L210" s="2">
        <f>ABS(I210)</f>
        <v/>
      </c>
      <c r="M210" s="2">
        <f>IF(ISNUMBER(F210),ABS(F210-D210),"")</f>
        <v/>
      </c>
      <c r="N210" s="2">
        <f>ABS(K210)</f>
        <v/>
      </c>
      <c r="O210" s="3">
        <f>IF(D210=0,"",(E210-D210)/D210)</f>
        <v/>
      </c>
      <c r="P210" s="3">
        <f>IF(ISNUMBER(F210),IF(D210=0,"",(F210-D210)/D210),"")</f>
        <v/>
      </c>
      <c r="Q210" s="3">
        <f>IF(D210=0,"",(G210-D210)/D210)</f>
        <v/>
      </c>
    </row>
    <row r="211">
      <c r="A211" t="inlineStr">
        <is>
          <t>HP2/01/125gsm/2440mm</t>
        </is>
      </c>
      <c r="B211" t="inlineStr">
        <is>
          <t>SCAN</t>
        </is>
      </c>
      <c r="C211" t="inlineStr">
        <is>
          <t>2026-09</t>
        </is>
      </c>
      <c r="D211" s="2" t="n">
        <v>210.893</v>
      </c>
      <c r="E211" s="2" t="n">
        <v>180</v>
      </c>
      <c r="F211" s="2" t="n">
        <v>256.817</v>
      </c>
      <c r="G211" s="2" t="n">
        <v>210.275</v>
      </c>
      <c r="H211">
        <f>ISNUMBER(F211)</f>
        <v/>
      </c>
      <c r="I211" s="2">
        <f>E211-D211</f>
        <v/>
      </c>
      <c r="J211" s="2">
        <f>IF(ISNUMBER(F211),F211-D211,"")</f>
        <v/>
      </c>
      <c r="K211" s="2">
        <f>G211-D211</f>
        <v/>
      </c>
      <c r="L211" s="2">
        <f>ABS(I211)</f>
        <v/>
      </c>
      <c r="M211" s="2">
        <f>IF(ISNUMBER(F211),ABS(F211-D211),"")</f>
        <v/>
      </c>
      <c r="N211" s="2">
        <f>ABS(K211)</f>
        <v/>
      </c>
      <c r="O211" s="3">
        <f>IF(D211=0,"",(E211-D211)/D211)</f>
        <v/>
      </c>
      <c r="P211" s="3">
        <f>IF(ISNUMBER(F211),IF(D211=0,"",(F211-D211)/D211),"")</f>
        <v/>
      </c>
      <c r="Q211" s="3">
        <f>IF(D211=0,"",(G211-D211)/D211)</f>
        <v/>
      </c>
    </row>
    <row r="212">
      <c r="A212" t="inlineStr">
        <is>
          <t>HP2/01/155gsm/2090mm</t>
        </is>
      </c>
      <c r="B212" t="inlineStr">
        <is>
          <t>SCAN</t>
        </is>
      </c>
      <c r="C212" t="inlineStr">
        <is>
          <t>2026-09</t>
        </is>
      </c>
      <c r="D212" s="2" t="n">
        <v>101.756</v>
      </c>
      <c r="E212" s="2" t="n">
        <v>140</v>
      </c>
      <c r="F212" s="2" t="n">
        <v>148.784</v>
      </c>
      <c r="G212" s="2" t="n">
        <v>126.498</v>
      </c>
      <c r="H212">
        <f>ISNUMBER(F212)</f>
        <v/>
      </c>
      <c r="I212" s="2">
        <f>E212-D212</f>
        <v/>
      </c>
      <c r="J212" s="2">
        <f>IF(ISNUMBER(F212),F212-D212,"")</f>
        <v/>
      </c>
      <c r="K212" s="2">
        <f>G212-D212</f>
        <v/>
      </c>
      <c r="L212" s="2">
        <f>ABS(I212)</f>
        <v/>
      </c>
      <c r="M212" s="2">
        <f>IF(ISNUMBER(F212),ABS(F212-D212),"")</f>
        <v/>
      </c>
      <c r="N212" s="2">
        <f>ABS(K212)</f>
        <v/>
      </c>
      <c r="O212" s="3">
        <f>IF(D212=0,"",(E212-D212)/D212)</f>
        <v/>
      </c>
      <c r="P212" s="3">
        <f>IF(ISNUMBER(F212),IF(D212=0,"",(F212-D212)/D212),"")</f>
        <v/>
      </c>
      <c r="Q212" s="3">
        <f>IF(D212=0,"",(G212-D212)/D212)</f>
        <v/>
      </c>
    </row>
    <row r="213">
      <c r="A213" t="inlineStr">
        <is>
          <t>HP2/01/155gsm/2290mm</t>
        </is>
      </c>
      <c r="B213" t="inlineStr">
        <is>
          <t>SCAN</t>
        </is>
      </c>
      <c r="C213" t="inlineStr">
        <is>
          <t>2026-09</t>
        </is>
      </c>
      <c r="D213" s="2" t="n">
        <v>140.899</v>
      </c>
      <c r="E213" s="2" t="n">
        <v>166</v>
      </c>
      <c r="F213" s="2" t="n">
        <v>203.845</v>
      </c>
      <c r="G213" s="2" t="n">
        <v>180.094</v>
      </c>
      <c r="H213">
        <f>ISNUMBER(F213)</f>
        <v/>
      </c>
      <c r="I213" s="2">
        <f>E213-D213</f>
        <v/>
      </c>
      <c r="J213" s="2">
        <f>IF(ISNUMBER(F213),F213-D213,"")</f>
        <v/>
      </c>
      <c r="K213" s="2">
        <f>G213-D213</f>
        <v/>
      </c>
      <c r="L213" s="2">
        <f>ABS(I213)</f>
        <v/>
      </c>
      <c r="M213" s="2">
        <f>IF(ISNUMBER(F213),ABS(F213-D213),"")</f>
        <v/>
      </c>
      <c r="N213" s="2">
        <f>ABS(K213)</f>
        <v/>
      </c>
      <c r="O213" s="3">
        <f>IF(D213=0,"",(E213-D213)/D213)</f>
        <v/>
      </c>
      <c r="P213" s="3">
        <f>IF(ISNUMBER(F213),IF(D213=0,"",(F213-D213)/D213),"")</f>
        <v/>
      </c>
      <c r="Q213" s="3">
        <f>IF(D213=0,"",(G213-D213)/D213)</f>
        <v/>
      </c>
    </row>
    <row r="214">
      <c r="A214" t="inlineStr">
        <is>
          <t>HP2/01/155gsm/2440mm</t>
        </is>
      </c>
      <c r="B214" t="inlineStr">
        <is>
          <t>SCAN</t>
        </is>
      </c>
      <c r="C214" t="inlineStr">
        <is>
          <t>2026-09</t>
        </is>
      </c>
      <c r="D214" s="2" t="n">
        <v>168.167</v>
      </c>
      <c r="E214" s="2" t="n">
        <v>172</v>
      </c>
      <c r="F214" s="2" t="n">
        <v>174.534</v>
      </c>
      <c r="G214" s="2" t="n">
        <v>169.086</v>
      </c>
      <c r="H214">
        <f>ISNUMBER(F214)</f>
        <v/>
      </c>
      <c r="I214" s="2">
        <f>E214-D214</f>
        <v/>
      </c>
      <c r="J214" s="2">
        <f>IF(ISNUMBER(F214),F214-D214,"")</f>
        <v/>
      </c>
      <c r="K214" s="2">
        <f>G214-D214</f>
        <v/>
      </c>
      <c r="L214" s="2">
        <f>ABS(I214)</f>
        <v/>
      </c>
      <c r="M214" s="2">
        <f>IF(ISNUMBER(F214),ABS(F214-D214),"")</f>
        <v/>
      </c>
      <c r="N214" s="2">
        <f>ABS(K214)</f>
        <v/>
      </c>
      <c r="O214" s="3">
        <f>IF(D214=0,"",(E214-D214)/D214)</f>
        <v/>
      </c>
      <c r="P214" s="3">
        <f>IF(ISNUMBER(F214),IF(D214=0,"",(F214-D214)/D214),"")</f>
        <v/>
      </c>
      <c r="Q214" s="3">
        <f>IF(D214=0,"",(G214-D214)/D214)</f>
        <v/>
      </c>
    </row>
    <row r="215">
      <c r="A215" t="inlineStr">
        <is>
          <t>K/01/110gsm/2100mm</t>
        </is>
      </c>
      <c r="B215" t="inlineStr">
        <is>
          <t>SCAN</t>
        </is>
      </c>
      <c r="C215" t="inlineStr">
        <is>
          <t>2026-09</t>
        </is>
      </c>
      <c r="D215" s="2" t="n">
        <v>39.955</v>
      </c>
      <c r="E215" s="2" t="n">
        <v>68</v>
      </c>
      <c r="F215" s="2" t="n">
        <v>48.81</v>
      </c>
      <c r="G215" s="2" t="n">
        <v>51.936</v>
      </c>
      <c r="H215">
        <f>ISNUMBER(F215)</f>
        <v/>
      </c>
      <c r="I215" s="2">
        <f>E215-D215</f>
        <v/>
      </c>
      <c r="J215" s="2">
        <f>IF(ISNUMBER(F215),F215-D215,"")</f>
        <v/>
      </c>
      <c r="K215" s="2">
        <f>G215-D215</f>
        <v/>
      </c>
      <c r="L215" s="2">
        <f>ABS(I215)</f>
        <v/>
      </c>
      <c r="M215" s="2">
        <f>IF(ISNUMBER(F215),ABS(F215-D215),"")</f>
        <v/>
      </c>
      <c r="N215" s="2">
        <f>ABS(K215)</f>
        <v/>
      </c>
      <c r="O215" s="3">
        <f>IF(D215=0,"",(E215-D215)/D215)</f>
        <v/>
      </c>
      <c r="P215" s="3">
        <f>IF(ISNUMBER(F215),IF(D215=0,"",(F215-D215)/D215),"")</f>
        <v/>
      </c>
      <c r="Q215" s="3">
        <f>IF(D215=0,"",(G215-D215)/D215)</f>
        <v/>
      </c>
    </row>
    <row r="216">
      <c r="A216" t="inlineStr">
        <is>
          <t>K/01/110gsm/2300mm</t>
        </is>
      </c>
      <c r="B216" t="inlineStr">
        <is>
          <t>SCAN</t>
        </is>
      </c>
      <c r="C216" t="inlineStr">
        <is>
          <t>2026-09</t>
        </is>
      </c>
      <c r="D216" s="2" t="n">
        <v>39.705</v>
      </c>
      <c r="E216" s="2" t="n">
        <v>70</v>
      </c>
      <c r="F216" s="2" t="n">
        <v>107.303</v>
      </c>
      <c r="G216" s="2" t="n">
        <v>54.313</v>
      </c>
      <c r="H216">
        <f>ISNUMBER(F216)</f>
        <v/>
      </c>
      <c r="I216" s="2">
        <f>E216-D216</f>
        <v/>
      </c>
      <c r="J216" s="2">
        <f>IF(ISNUMBER(F216),F216-D216,"")</f>
        <v/>
      </c>
      <c r="K216" s="2">
        <f>G216-D216</f>
        <v/>
      </c>
      <c r="L216" s="2">
        <f>ABS(I216)</f>
        <v/>
      </c>
      <c r="M216" s="2">
        <f>IF(ISNUMBER(F216),ABS(F216-D216),"")</f>
        <v/>
      </c>
      <c r="N216" s="2">
        <f>ABS(K216)</f>
        <v/>
      </c>
      <c r="O216" s="3">
        <f>IF(D216=0,"",(E216-D216)/D216)</f>
        <v/>
      </c>
      <c r="P216" s="3">
        <f>IF(ISNUMBER(F216),IF(D216=0,"",(F216-D216)/D216),"")</f>
        <v/>
      </c>
      <c r="Q216" s="3">
        <f>IF(D216=0,"",(G216-D216)/D216)</f>
        <v/>
      </c>
    </row>
    <row r="217">
      <c r="A217" t="inlineStr">
        <is>
          <t>K/01/110gsm/2450mm</t>
        </is>
      </c>
      <c r="B217" t="inlineStr">
        <is>
          <t>SCAN</t>
        </is>
      </c>
      <c r="C217" t="inlineStr">
        <is>
          <t>2026-09</t>
        </is>
      </c>
      <c r="D217" s="2" t="n">
        <v>111.76</v>
      </c>
      <c r="E217" s="2" t="n">
        <v>100</v>
      </c>
      <c r="F217" s="2" t="n">
        <v>130.954</v>
      </c>
      <c r="G217" s="2" t="n">
        <v>99.73399999999999</v>
      </c>
      <c r="H217">
        <f>ISNUMBER(F217)</f>
        <v/>
      </c>
      <c r="I217" s="2">
        <f>E217-D217</f>
        <v/>
      </c>
      <c r="J217" s="2">
        <f>IF(ISNUMBER(F217),F217-D217,"")</f>
        <v/>
      </c>
      <c r="K217" s="2">
        <f>G217-D217</f>
        <v/>
      </c>
      <c r="L217" s="2">
        <f>ABS(I217)</f>
        <v/>
      </c>
      <c r="M217" s="2">
        <f>IF(ISNUMBER(F217),ABS(F217-D217),"")</f>
        <v/>
      </c>
      <c r="N217" s="2">
        <f>ABS(K217)</f>
        <v/>
      </c>
      <c r="O217" s="3">
        <f>IF(D217=0,"",(E217-D217)/D217)</f>
        <v/>
      </c>
      <c r="P217" s="3">
        <f>IF(ISNUMBER(F217),IF(D217=0,"",(F217-D217)/D217),"")</f>
        <v/>
      </c>
      <c r="Q217" s="3">
        <f>IF(D217=0,"",(G217-D217)/D217)</f>
        <v/>
      </c>
    </row>
    <row r="218">
      <c r="A218" t="inlineStr">
        <is>
          <t>K/01/160gsm/2100mm</t>
        </is>
      </c>
      <c r="B218" t="inlineStr">
        <is>
          <t>SCAN</t>
        </is>
      </c>
      <c r="C218" t="inlineStr">
        <is>
          <t>2026-09</t>
        </is>
      </c>
      <c r="D218" s="2" t="n">
        <v>87.37</v>
      </c>
      <c r="E218" s="2" t="n">
        <v>126</v>
      </c>
      <c r="F218" s="2" t="n">
        <v>92.622</v>
      </c>
      <c r="G218" s="2" t="n">
        <v>101.258</v>
      </c>
      <c r="H218">
        <f>ISNUMBER(F218)</f>
        <v/>
      </c>
      <c r="I218" s="2">
        <f>E218-D218</f>
        <v/>
      </c>
      <c r="J218" s="2">
        <f>IF(ISNUMBER(F218),F218-D218,"")</f>
        <v/>
      </c>
      <c r="K218" s="2">
        <f>G218-D218</f>
        <v/>
      </c>
      <c r="L218" s="2">
        <f>ABS(I218)</f>
        <v/>
      </c>
      <c r="M218" s="2">
        <f>IF(ISNUMBER(F218),ABS(F218-D218),"")</f>
        <v/>
      </c>
      <c r="N218" s="2">
        <f>ABS(K218)</f>
        <v/>
      </c>
      <c r="O218" s="3">
        <f>IF(D218=0,"",(E218-D218)/D218)</f>
        <v/>
      </c>
      <c r="P218" s="3">
        <f>IF(ISNUMBER(F218),IF(D218=0,"",(F218-D218)/D218),"")</f>
        <v/>
      </c>
      <c r="Q218" s="3">
        <f>IF(D218=0,"",(G218-D218)/D218)</f>
        <v/>
      </c>
    </row>
    <row r="219">
      <c r="A219" t="inlineStr">
        <is>
          <t>K/01/160gsm/2300mm</t>
        </is>
      </c>
      <c r="B219" t="inlineStr">
        <is>
          <t>SCAN</t>
        </is>
      </c>
      <c r="C219" t="inlineStr">
        <is>
          <t>2026-09</t>
        </is>
      </c>
      <c r="D219" s="2" t="n">
        <v>94.495</v>
      </c>
      <c r="E219" s="2" t="n">
        <v>120</v>
      </c>
      <c r="F219" s="2" t="n">
        <v>131.192</v>
      </c>
      <c r="G219" s="2" t="n">
        <v>101.858</v>
      </c>
      <c r="H219">
        <f>ISNUMBER(F219)</f>
        <v/>
      </c>
      <c r="I219" s="2">
        <f>E219-D219</f>
        <v/>
      </c>
      <c r="J219" s="2">
        <f>IF(ISNUMBER(F219),F219-D219,"")</f>
        <v/>
      </c>
      <c r="K219" s="2">
        <f>G219-D219</f>
        <v/>
      </c>
      <c r="L219" s="2">
        <f>ABS(I219)</f>
        <v/>
      </c>
      <c r="M219" s="2">
        <f>IF(ISNUMBER(F219),ABS(F219-D219),"")</f>
        <v/>
      </c>
      <c r="N219" s="2">
        <f>ABS(K219)</f>
        <v/>
      </c>
      <c r="O219" s="3">
        <f>IF(D219=0,"",(E219-D219)/D219)</f>
        <v/>
      </c>
      <c r="P219" s="3">
        <f>IF(ISNUMBER(F219),IF(D219=0,"",(F219-D219)/D219),"")</f>
        <v/>
      </c>
      <c r="Q219" s="3">
        <f>IF(D219=0,"",(G219-D219)/D219)</f>
        <v/>
      </c>
    </row>
    <row r="220">
      <c r="A220" t="inlineStr">
        <is>
          <t>K/01/160gsm/2450mm</t>
        </is>
      </c>
      <c r="B220" t="inlineStr">
        <is>
          <t>SCAN</t>
        </is>
      </c>
      <c r="C220" t="inlineStr">
        <is>
          <t>2026-09</t>
        </is>
      </c>
      <c r="D220" s="2" t="n">
        <v>125.174</v>
      </c>
      <c r="E220" s="2" t="n">
        <v>110</v>
      </c>
      <c r="F220" s="2" t="n">
        <v>92.337</v>
      </c>
      <c r="G220" s="2" t="n">
        <v>115.49</v>
      </c>
      <c r="H220">
        <f>ISNUMBER(F220)</f>
        <v/>
      </c>
      <c r="I220" s="2">
        <f>E220-D220</f>
        <v/>
      </c>
      <c r="J220" s="2">
        <f>IF(ISNUMBER(F220),F220-D220,"")</f>
        <v/>
      </c>
      <c r="K220" s="2">
        <f>G220-D220</f>
        <v/>
      </c>
      <c r="L220" s="2">
        <f>ABS(I220)</f>
        <v/>
      </c>
      <c r="M220" s="2">
        <f>IF(ISNUMBER(F220),ABS(F220-D220),"")</f>
        <v/>
      </c>
      <c r="N220" s="2">
        <f>ABS(K220)</f>
        <v/>
      </c>
      <c r="O220" s="3">
        <f>IF(D220=0,"",(E220-D220)/D220)</f>
        <v/>
      </c>
      <c r="P220" s="3">
        <f>IF(ISNUMBER(F220),IF(D220=0,"",(F220-D220)/D220),"")</f>
        <v/>
      </c>
      <c r="Q220" s="3">
        <f>IF(D220=0,"",(G220-D220)/D220)</f>
        <v/>
      </c>
    </row>
    <row r="221">
      <c r="A221" t="inlineStr">
        <is>
          <t>KW2/01/115gsm/2100mm</t>
        </is>
      </c>
      <c r="B221" t="inlineStr">
        <is>
          <t>SCAN</t>
        </is>
      </c>
      <c r="C221" t="inlineStr">
        <is>
          <t>2026-09</t>
        </is>
      </c>
      <c r="D221" s="2" t="n">
        <v>56.38</v>
      </c>
      <c r="E221" s="2" t="n">
        <v>60</v>
      </c>
      <c r="F221" s="2" t="n">
        <v>62.85</v>
      </c>
      <c r="G221" s="2" t="n">
        <v>50.507</v>
      </c>
      <c r="H221">
        <f>ISNUMBER(F221)</f>
        <v/>
      </c>
      <c r="I221" s="2">
        <f>E221-D221</f>
        <v/>
      </c>
      <c r="J221" s="2">
        <f>IF(ISNUMBER(F221),F221-D221,"")</f>
        <v/>
      </c>
      <c r="K221" s="2">
        <f>G221-D221</f>
        <v/>
      </c>
      <c r="L221" s="2">
        <f>ABS(I221)</f>
        <v/>
      </c>
      <c r="M221" s="2">
        <f>IF(ISNUMBER(F221),ABS(F221-D221),"")</f>
        <v/>
      </c>
      <c r="N221" s="2">
        <f>ABS(K221)</f>
        <v/>
      </c>
      <c r="O221" s="3">
        <f>IF(D221=0,"",(E221-D221)/D221)</f>
        <v/>
      </c>
      <c r="P221" s="3">
        <f>IF(ISNUMBER(F221),IF(D221=0,"",(F221-D221)/D221),"")</f>
        <v/>
      </c>
      <c r="Q221" s="3">
        <f>IF(D221=0,"",(G221-D221)/D221)</f>
        <v/>
      </c>
    </row>
    <row r="222">
      <c r="A222" t="inlineStr">
        <is>
          <t>KW2/01/115gsm/2300mm</t>
        </is>
      </c>
      <c r="B222" t="inlineStr">
        <is>
          <t>SCAN</t>
        </is>
      </c>
      <c r="C222" t="inlineStr">
        <is>
          <t>2026-09</t>
        </is>
      </c>
      <c r="D222" s="2" t="n">
        <v>78.785</v>
      </c>
      <c r="E222" s="2" t="n">
        <v>90</v>
      </c>
      <c r="F222" s="2" t="n">
        <v>87.95999999999999</v>
      </c>
      <c r="G222" s="2" t="n">
        <v>94.152</v>
      </c>
      <c r="H222">
        <f>ISNUMBER(F222)</f>
        <v/>
      </c>
      <c r="I222" s="2">
        <f>E222-D222</f>
        <v/>
      </c>
      <c r="J222" s="2">
        <f>IF(ISNUMBER(F222),F222-D222,"")</f>
        <v/>
      </c>
      <c r="K222" s="2">
        <f>G222-D222</f>
        <v/>
      </c>
      <c r="L222" s="2">
        <f>ABS(I222)</f>
        <v/>
      </c>
      <c r="M222" s="2">
        <f>IF(ISNUMBER(F222),ABS(F222-D222),"")</f>
        <v/>
      </c>
      <c r="N222" s="2">
        <f>ABS(K222)</f>
        <v/>
      </c>
      <c r="O222" s="3">
        <f>IF(D222=0,"",(E222-D222)/D222)</f>
        <v/>
      </c>
      <c r="P222" s="3">
        <f>IF(ISNUMBER(F222),IF(D222=0,"",(F222-D222)/D222),"")</f>
        <v/>
      </c>
      <c r="Q222" s="3">
        <f>IF(D222=0,"",(G222-D222)/D222)</f>
        <v/>
      </c>
    </row>
    <row r="223">
      <c r="A223" t="inlineStr">
        <is>
          <t>KW2/01/115gsm/2450mm</t>
        </is>
      </c>
      <c r="B223" t="inlineStr">
        <is>
          <t>SCAN</t>
        </is>
      </c>
      <c r="C223" t="inlineStr">
        <is>
          <t>2026-09</t>
        </is>
      </c>
      <c r="D223" s="2" t="n">
        <v>94.325</v>
      </c>
      <c r="E223" s="2" t="n">
        <v>100</v>
      </c>
      <c r="F223" s="2" t="n">
        <v>100.966</v>
      </c>
      <c r="G223" s="2" t="n">
        <v>106.997</v>
      </c>
      <c r="H223">
        <f>ISNUMBER(F223)</f>
        <v/>
      </c>
      <c r="I223" s="2">
        <f>E223-D223</f>
        <v/>
      </c>
      <c r="J223" s="2">
        <f>IF(ISNUMBER(F223),F223-D223,"")</f>
        <v/>
      </c>
      <c r="K223" s="2">
        <f>G223-D223</f>
        <v/>
      </c>
      <c r="L223" s="2">
        <f>ABS(I223)</f>
        <v/>
      </c>
      <c r="M223" s="2">
        <f>IF(ISNUMBER(F223),ABS(F223-D223),"")</f>
        <v/>
      </c>
      <c r="N223" s="2">
        <f>ABS(K223)</f>
        <v/>
      </c>
      <c r="O223" s="3">
        <f>IF(D223=0,"",(E223-D223)/D223)</f>
        <v/>
      </c>
      <c r="P223" s="3">
        <f>IF(ISNUMBER(F223),IF(D223=0,"",(F223-D223)/D223),"")</f>
        <v/>
      </c>
      <c r="Q223" s="3">
        <f>IF(D223=0,"",(G223-D223)/D223)</f>
        <v/>
      </c>
    </row>
    <row r="224">
      <c r="A224" t="inlineStr">
        <is>
          <t>KW2/01/160gsm/2450mm</t>
        </is>
      </c>
      <c r="B224" t="inlineStr">
        <is>
          <t>SCAN</t>
        </is>
      </c>
      <c r="C224" t="inlineStr">
        <is>
          <t>2026-09</t>
        </is>
      </c>
      <c r="D224" s="2" t="n">
        <v>33.795</v>
      </c>
      <c r="E224" s="2" t="n">
        <v>35</v>
      </c>
      <c r="F224" s="2" t="n">
        <v>21.829</v>
      </c>
      <c r="G224" s="2" t="n">
        <v>32.92</v>
      </c>
      <c r="H224">
        <f>ISNUMBER(F224)</f>
        <v/>
      </c>
      <c r="I224" s="2">
        <f>E224-D224</f>
        <v/>
      </c>
      <c r="J224" s="2">
        <f>IF(ISNUMBER(F224),F224-D224,"")</f>
        <v/>
      </c>
      <c r="K224" s="2">
        <f>G224-D224</f>
        <v/>
      </c>
      <c r="L224" s="2">
        <f>ABS(I224)</f>
        <v/>
      </c>
      <c r="M224" s="2">
        <f>IF(ISNUMBER(F224),ABS(F224-D224),"")</f>
        <v/>
      </c>
      <c r="N224" s="2">
        <f>ABS(K224)</f>
        <v/>
      </c>
      <c r="O224" s="3">
        <f>IF(D224=0,"",(E224-D224)/D224)</f>
        <v/>
      </c>
      <c r="P224" s="3">
        <f>IF(ISNUMBER(F224),IF(D224=0,"",(F224-D224)/D224),"")</f>
        <v/>
      </c>
      <c r="Q224" s="3">
        <f>IF(D224=0,"",(G224-D224)/D224)</f>
        <v/>
      </c>
    </row>
    <row r="225">
      <c r="A225" t="inlineStr">
        <is>
          <t>THP/01/125gsm/2100mm</t>
        </is>
      </c>
      <c r="B225" t="inlineStr">
        <is>
          <t>SCAN</t>
        </is>
      </c>
      <c r="C225" t="inlineStr">
        <is>
          <t>2026-09</t>
        </is>
      </c>
      <c r="D225" s="2" t="n">
        <v>58.702</v>
      </c>
      <c r="E225" s="2" t="n">
        <v>76</v>
      </c>
      <c r="F225" s="2" t="n">
        <v>55.881</v>
      </c>
      <c r="G225" s="2" t="n">
        <v>74.883</v>
      </c>
      <c r="H225">
        <f>ISNUMBER(F225)</f>
        <v/>
      </c>
      <c r="I225" s="2">
        <f>E225-D225</f>
        <v/>
      </c>
      <c r="J225" s="2">
        <f>IF(ISNUMBER(F225),F225-D225,"")</f>
        <v/>
      </c>
      <c r="K225" s="2">
        <f>G225-D225</f>
        <v/>
      </c>
      <c r="L225" s="2">
        <f>ABS(I225)</f>
        <v/>
      </c>
      <c r="M225" s="2">
        <f>IF(ISNUMBER(F225),ABS(F225-D225),"")</f>
        <v/>
      </c>
      <c r="N225" s="2">
        <f>ABS(K225)</f>
        <v/>
      </c>
      <c r="O225" s="3">
        <f>IF(D225=0,"",(E225-D225)/D225)</f>
        <v/>
      </c>
      <c r="P225" s="3">
        <f>IF(ISNUMBER(F225),IF(D225=0,"",(F225-D225)/D225),"")</f>
        <v/>
      </c>
      <c r="Q225" s="3">
        <f>IF(D225=0,"",(G225-D225)/D225)</f>
        <v/>
      </c>
    </row>
    <row r="226">
      <c r="A226" t="inlineStr">
        <is>
          <t>THP/01/125gsm/2300mm</t>
        </is>
      </c>
      <c r="B226" t="inlineStr">
        <is>
          <t>SCAN</t>
        </is>
      </c>
      <c r="C226" t="inlineStr">
        <is>
          <t>2026-09</t>
        </is>
      </c>
      <c r="D226" s="2" t="n">
        <v>53.998</v>
      </c>
      <c r="E226" s="2" t="n">
        <v>40</v>
      </c>
      <c r="F226" s="2" t="n">
        <v>25.319</v>
      </c>
      <c r="G226" s="2" t="n">
        <v>32.634</v>
      </c>
      <c r="H226">
        <f>ISNUMBER(F226)</f>
        <v/>
      </c>
      <c r="I226" s="2">
        <f>E226-D226</f>
        <v/>
      </c>
      <c r="J226" s="2">
        <f>IF(ISNUMBER(F226),F226-D226,"")</f>
        <v/>
      </c>
      <c r="K226" s="2">
        <f>G226-D226</f>
        <v/>
      </c>
      <c r="L226" s="2">
        <f>ABS(I226)</f>
        <v/>
      </c>
      <c r="M226" s="2">
        <f>IF(ISNUMBER(F226),ABS(F226-D226),"")</f>
        <v/>
      </c>
      <c r="N226" s="2">
        <f>ABS(K226)</f>
        <v/>
      </c>
      <c r="O226" s="3">
        <f>IF(D226=0,"",(E226-D226)/D226)</f>
        <v/>
      </c>
      <c r="P226" s="3">
        <f>IF(ISNUMBER(F226),IF(D226=0,"",(F226-D226)/D226),"")</f>
        <v/>
      </c>
      <c r="Q226" s="3">
        <f>IF(D226=0,"",(G226-D226)/D226)</f>
        <v/>
      </c>
    </row>
    <row r="227">
      <c r="A227" t="inlineStr">
        <is>
          <t>THP/01/125gsm/2450mm</t>
        </is>
      </c>
      <c r="B227" t="inlineStr">
        <is>
          <t>SCAN</t>
        </is>
      </c>
      <c r="C227" t="inlineStr">
        <is>
          <t>2026-09</t>
        </is>
      </c>
      <c r="D227" s="2" t="n">
        <v>128.794</v>
      </c>
      <c r="E227" s="2" t="n">
        <v>120</v>
      </c>
      <c r="F227" s="2" t="n">
        <v>148.444</v>
      </c>
      <c r="G227" s="2" t="n">
        <v>129.815</v>
      </c>
      <c r="H227">
        <f>ISNUMBER(F227)</f>
        <v/>
      </c>
      <c r="I227" s="2">
        <f>E227-D227</f>
        <v/>
      </c>
      <c r="J227" s="2">
        <f>IF(ISNUMBER(F227),F227-D227,"")</f>
        <v/>
      </c>
      <c r="K227" s="2">
        <f>G227-D227</f>
        <v/>
      </c>
      <c r="L227" s="2">
        <f>ABS(I227)</f>
        <v/>
      </c>
      <c r="M227" s="2">
        <f>IF(ISNUMBER(F227),ABS(F227-D227),"")</f>
        <v/>
      </c>
      <c r="N227" s="2">
        <f>ABS(K227)</f>
        <v/>
      </c>
      <c r="O227" s="3">
        <f>IF(D227=0,"",(E227-D227)/D227)</f>
        <v/>
      </c>
      <c r="P227" s="3">
        <f>IF(ISNUMBER(F227),IF(D227=0,"",(F227-D227)/D227),"")</f>
        <v/>
      </c>
      <c r="Q227" s="3">
        <f>IF(D227=0,"",(G227-D227)/D227)</f>
        <v/>
      </c>
    </row>
    <row r="228">
      <c r="A228" t="inlineStr">
        <is>
          <t>TSL/01/100gsm/2100mm</t>
        </is>
      </c>
      <c r="B228" t="inlineStr">
        <is>
          <t>SCAN</t>
        </is>
      </c>
      <c r="C228" t="inlineStr">
        <is>
          <t>2026-09</t>
        </is>
      </c>
      <c r="D228" s="2" t="n">
        <v>88.19</v>
      </c>
      <c r="E228" s="2" t="n">
        <v>100</v>
      </c>
      <c r="F228" s="2" t="n">
        <v>85.438</v>
      </c>
      <c r="G228" s="2" t="n">
        <v>104.064</v>
      </c>
      <c r="H228">
        <f>ISNUMBER(F228)</f>
        <v/>
      </c>
      <c r="I228" s="2">
        <f>E228-D228</f>
        <v/>
      </c>
      <c r="J228" s="2">
        <f>IF(ISNUMBER(F228),F228-D228,"")</f>
        <v/>
      </c>
      <c r="K228" s="2">
        <f>G228-D228</f>
        <v/>
      </c>
      <c r="L228" s="2">
        <f>ABS(I228)</f>
        <v/>
      </c>
      <c r="M228" s="2">
        <f>IF(ISNUMBER(F228),ABS(F228-D228),"")</f>
        <v/>
      </c>
      <c r="N228" s="2">
        <f>ABS(K228)</f>
        <v/>
      </c>
      <c r="O228" s="3">
        <f>IF(D228=0,"",(E228-D228)/D228)</f>
        <v/>
      </c>
      <c r="P228" s="3">
        <f>IF(ISNUMBER(F228),IF(D228=0,"",(F228-D228)/D228),"")</f>
        <v/>
      </c>
      <c r="Q228" s="3">
        <f>IF(D228=0,"",(G228-D228)/D228)</f>
        <v/>
      </c>
    </row>
    <row r="229">
      <c r="A229" t="inlineStr">
        <is>
          <t>TSL/01/100gsm/2300mm</t>
        </is>
      </c>
      <c r="B229" t="inlineStr">
        <is>
          <t>SCAN</t>
        </is>
      </c>
      <c r="C229" t="inlineStr">
        <is>
          <t>2026-09</t>
        </is>
      </c>
      <c r="D229" s="2" t="n">
        <v>67.018</v>
      </c>
      <c r="E229" s="2" t="n">
        <v>98</v>
      </c>
      <c r="F229" s="2" t="n">
        <v>89.23699999999999</v>
      </c>
      <c r="G229" s="2" t="n">
        <v>78.199</v>
      </c>
      <c r="H229">
        <f>ISNUMBER(F229)</f>
        <v/>
      </c>
      <c r="I229" s="2">
        <f>E229-D229</f>
        <v/>
      </c>
      <c r="J229" s="2">
        <f>IF(ISNUMBER(F229),F229-D229,"")</f>
        <v/>
      </c>
      <c r="K229" s="2">
        <f>G229-D229</f>
        <v/>
      </c>
      <c r="L229" s="2">
        <f>ABS(I229)</f>
        <v/>
      </c>
      <c r="M229" s="2">
        <f>IF(ISNUMBER(F229),ABS(F229-D229),"")</f>
        <v/>
      </c>
      <c r="N229" s="2">
        <f>ABS(K229)</f>
        <v/>
      </c>
      <c r="O229" s="3">
        <f>IF(D229=0,"",(E229-D229)/D229)</f>
        <v/>
      </c>
      <c r="P229" s="3">
        <f>IF(ISNUMBER(F229),IF(D229=0,"",(F229-D229)/D229),"")</f>
        <v/>
      </c>
      <c r="Q229" s="3">
        <f>IF(D229=0,"",(G229-D229)/D229)</f>
        <v/>
      </c>
    </row>
    <row r="230">
      <c r="A230" t="inlineStr">
        <is>
          <t>TSL/01/100gsm/2450mm</t>
        </is>
      </c>
      <c r="B230" t="inlineStr">
        <is>
          <t>SCAN</t>
        </is>
      </c>
      <c r="C230" t="inlineStr">
        <is>
          <t>2026-09</t>
        </is>
      </c>
      <c r="D230" s="2" t="n">
        <v>142.196</v>
      </c>
      <c r="E230" s="2" t="n">
        <v>130</v>
      </c>
      <c r="F230" s="2" t="n">
        <v>161.593</v>
      </c>
      <c r="G230" s="2" t="n">
        <v>141.227</v>
      </c>
      <c r="H230">
        <f>ISNUMBER(F230)</f>
        <v/>
      </c>
      <c r="I230" s="2">
        <f>E230-D230</f>
        <v/>
      </c>
      <c r="J230" s="2">
        <f>IF(ISNUMBER(F230),F230-D230,"")</f>
        <v/>
      </c>
      <c r="K230" s="2">
        <f>G230-D230</f>
        <v/>
      </c>
      <c r="L230" s="2">
        <f>ABS(I230)</f>
        <v/>
      </c>
      <c r="M230" s="2">
        <f>IF(ISNUMBER(F230),ABS(F230-D230),"")</f>
        <v/>
      </c>
      <c r="N230" s="2">
        <f>ABS(K230)</f>
        <v/>
      </c>
      <c r="O230" s="3">
        <f>IF(D230=0,"",(E230-D230)/D230)</f>
        <v/>
      </c>
      <c r="P230" s="3">
        <f>IF(ISNUMBER(F230),IF(D230=0,"",(F230-D230)/D230),"")</f>
        <v/>
      </c>
      <c r="Q230" s="3">
        <f>IF(D230=0,"",(G230-D230)/D230)</f>
        <v/>
      </c>
    </row>
    <row r="231">
      <c r="A231" t="inlineStr">
        <is>
          <t>TSL/01/150gsm/2450mm</t>
        </is>
      </c>
      <c r="B231" t="inlineStr">
        <is>
          <t>SCAN</t>
        </is>
      </c>
      <c r="C231" t="inlineStr">
        <is>
          <t>2026-09</t>
        </is>
      </c>
      <c r="D231" s="2" t="n">
        <v>25.069</v>
      </c>
      <c r="E231" s="2" t="n">
        <v>28</v>
      </c>
      <c r="F231" s="2" t="n">
        <v>25.282</v>
      </c>
      <c r="G231" s="2" t="n">
        <v>29.661</v>
      </c>
      <c r="H231">
        <f>ISNUMBER(F231)</f>
        <v/>
      </c>
      <c r="I231" s="2">
        <f>E231-D231</f>
        <v/>
      </c>
      <c r="J231" s="2">
        <f>IF(ISNUMBER(F231),F231-D231,"")</f>
        <v/>
      </c>
      <c r="K231" s="2">
        <f>G231-D231</f>
        <v/>
      </c>
      <c r="L231" s="2">
        <f>ABS(I231)</f>
        <v/>
      </c>
      <c r="M231" s="2">
        <f>IF(ISNUMBER(F231),ABS(F231-D231),"")</f>
        <v/>
      </c>
      <c r="N231" s="2">
        <f>ABS(K231)</f>
        <v/>
      </c>
      <c r="O231" s="3">
        <f>IF(D231=0,"",(E231-D231)/D231)</f>
        <v/>
      </c>
      <c r="P231" s="3">
        <f>IF(ISNUMBER(F231),IF(D231=0,"",(F231-D231)/D231),"")</f>
        <v/>
      </c>
      <c r="Q231" s="3">
        <f>IF(D231=0,"",(G231-D231)/D231)</f>
        <v/>
      </c>
    </row>
    <row r="232">
      <c r="A232" t="inlineStr">
        <is>
          <t>TSL/01/80gsm/2100mm</t>
        </is>
      </c>
      <c r="B232" t="inlineStr">
        <is>
          <t>SCAN</t>
        </is>
      </c>
      <c r="C232" t="inlineStr">
        <is>
          <t>2026-09</t>
        </is>
      </c>
      <c r="D232" s="2" t="n">
        <v>76.61799999999999</v>
      </c>
      <c r="E232" s="2" t="n">
        <v>88</v>
      </c>
      <c r="F232" s="2" t="n">
        <v>79.553</v>
      </c>
      <c r="G232" s="2" t="n">
        <v>80.319</v>
      </c>
      <c r="H232">
        <f>ISNUMBER(F232)</f>
        <v/>
      </c>
      <c r="I232" s="2">
        <f>E232-D232</f>
        <v/>
      </c>
      <c r="J232" s="2">
        <f>IF(ISNUMBER(F232),F232-D232,"")</f>
        <v/>
      </c>
      <c r="K232" s="2">
        <f>G232-D232</f>
        <v/>
      </c>
      <c r="L232" s="2">
        <f>ABS(I232)</f>
        <v/>
      </c>
      <c r="M232" s="2">
        <f>IF(ISNUMBER(F232),ABS(F232-D232),"")</f>
        <v/>
      </c>
      <c r="N232" s="2">
        <f>ABS(K232)</f>
        <v/>
      </c>
      <c r="O232" s="3">
        <f>IF(D232=0,"",(E232-D232)/D232)</f>
        <v/>
      </c>
      <c r="P232" s="3">
        <f>IF(ISNUMBER(F232),IF(D232=0,"",(F232-D232)/D232),"")</f>
        <v/>
      </c>
      <c r="Q232" s="3">
        <f>IF(D232=0,"",(G232-D232)/D232)</f>
        <v/>
      </c>
    </row>
    <row r="233">
      <c r="A233" t="inlineStr">
        <is>
          <t>TSL/01/80gsm/2300mm</t>
        </is>
      </c>
      <c r="B233" t="inlineStr">
        <is>
          <t>SCAN</t>
        </is>
      </c>
      <c r="C233" t="inlineStr">
        <is>
          <t>2026-09</t>
        </is>
      </c>
      <c r="D233" s="2" t="n">
        <v>51.41</v>
      </c>
      <c r="E233" s="2" t="n">
        <v>82</v>
      </c>
      <c r="F233" s="2" t="n">
        <v>108.746</v>
      </c>
      <c r="G233" s="2" t="n">
        <v>78.35299999999999</v>
      </c>
      <c r="H233">
        <f>ISNUMBER(F233)</f>
        <v/>
      </c>
      <c r="I233" s="2">
        <f>E233-D233</f>
        <v/>
      </c>
      <c r="J233" s="2">
        <f>IF(ISNUMBER(F233),F233-D233,"")</f>
        <v/>
      </c>
      <c r="K233" s="2">
        <f>G233-D233</f>
        <v/>
      </c>
      <c r="L233" s="2">
        <f>ABS(I233)</f>
        <v/>
      </c>
      <c r="M233" s="2">
        <f>IF(ISNUMBER(F233),ABS(F233-D233),"")</f>
        <v/>
      </c>
      <c r="N233" s="2">
        <f>ABS(K233)</f>
        <v/>
      </c>
      <c r="O233" s="3">
        <f>IF(D233=0,"",(E233-D233)/D233)</f>
        <v/>
      </c>
      <c r="P233" s="3">
        <f>IF(ISNUMBER(F233),IF(D233=0,"",(F233-D233)/D233),"")</f>
        <v/>
      </c>
      <c r="Q233" s="3">
        <f>IF(D233=0,"",(G233-D233)/D233)</f>
        <v/>
      </c>
    </row>
    <row r="234">
      <c r="A234" t="inlineStr">
        <is>
          <t>TSL/01/80gsm/2450mm</t>
        </is>
      </c>
      <c r="B234" t="inlineStr">
        <is>
          <t>SCAN</t>
        </is>
      </c>
      <c r="C234" t="inlineStr">
        <is>
          <t>2026-09</t>
        </is>
      </c>
      <c r="D234" s="2" t="n">
        <v>180.188</v>
      </c>
      <c r="E234" s="2" t="n">
        <v>160</v>
      </c>
      <c r="F234" s="2" t="n">
        <v>163.88</v>
      </c>
      <c r="G234" s="2" t="n">
        <v>151.965</v>
      </c>
      <c r="H234">
        <f>ISNUMBER(F234)</f>
        <v/>
      </c>
      <c r="I234" s="2">
        <f>E234-D234</f>
        <v/>
      </c>
      <c r="J234" s="2">
        <f>IF(ISNUMBER(F234),F234-D234,"")</f>
        <v/>
      </c>
      <c r="K234" s="2">
        <f>G234-D234</f>
        <v/>
      </c>
      <c r="L234" s="2">
        <f>ABS(I234)</f>
        <v/>
      </c>
      <c r="M234" s="2">
        <f>IF(ISNUMBER(F234),ABS(F234-D234),"")</f>
        <v/>
      </c>
      <c r="N234" s="2">
        <f>ABS(K234)</f>
        <v/>
      </c>
      <c r="O234" s="3">
        <f>IF(D234=0,"",(E234-D234)/D234)</f>
        <v/>
      </c>
      <c r="P234" s="3">
        <f>IF(ISNUMBER(F234),IF(D234=0,"",(F234-D234)/D234),"")</f>
        <v/>
      </c>
      <c r="Q234" s="3">
        <f>IF(D234=0,"",(G234-D234)/D234)</f>
        <v/>
      </c>
    </row>
    <row r="235">
      <c r="A235" t="inlineStr">
        <is>
          <t>HP2/01/125gsm/2190mm</t>
        </is>
      </c>
      <c r="B235" t="inlineStr">
        <is>
          <t>SCOC</t>
        </is>
      </c>
      <c r="C235" t="inlineStr">
        <is>
          <t>2026-09</t>
        </is>
      </c>
      <c r="D235" s="2" t="n">
        <v>110.926</v>
      </c>
      <c r="E235" s="2" t="n">
        <v>110</v>
      </c>
      <c r="F235" s="2" t="n">
        <v>210</v>
      </c>
      <c r="G235" s="2" t="n">
        <v>138.964</v>
      </c>
      <c r="H235">
        <f>ISNUMBER(F235)</f>
        <v/>
      </c>
      <c r="I235" s="2">
        <f>E235-D235</f>
        <v/>
      </c>
      <c r="J235" s="2">
        <f>IF(ISNUMBER(F235),F235-D235,"")</f>
        <v/>
      </c>
      <c r="K235" s="2">
        <f>G235-D235</f>
        <v/>
      </c>
      <c r="L235" s="2">
        <f>ABS(I235)</f>
        <v/>
      </c>
      <c r="M235" s="2">
        <f>IF(ISNUMBER(F235),ABS(F235-D235),"")</f>
        <v/>
      </c>
      <c r="N235" s="2">
        <f>ABS(K235)</f>
        <v/>
      </c>
      <c r="O235" s="3">
        <f>IF(D235=0,"",(E235-D235)/D235)</f>
        <v/>
      </c>
      <c r="P235" s="3">
        <f>IF(ISNUMBER(F235),IF(D235=0,"",(F235-D235)/D235),"")</f>
        <v/>
      </c>
      <c r="Q235" s="3">
        <f>IF(D235=0,"",(G235-D235)/D235)</f>
        <v/>
      </c>
    </row>
    <row r="236">
      <c r="A236" t="inlineStr">
        <is>
          <t>HP2/01/125gsm/2290mm</t>
        </is>
      </c>
      <c r="B236" t="inlineStr">
        <is>
          <t>SCOC</t>
        </is>
      </c>
      <c r="C236" t="inlineStr">
        <is>
          <t>2026-09</t>
        </is>
      </c>
      <c r="D236" s="2" t="n">
        <v>62.413</v>
      </c>
      <c r="E236" s="2" t="n">
        <v>50</v>
      </c>
      <c r="F236" s="2" t="n">
        <v>55</v>
      </c>
      <c r="G236" s="2" t="n">
        <v>58.234</v>
      </c>
      <c r="H236">
        <f>ISNUMBER(F236)</f>
        <v/>
      </c>
      <c r="I236" s="2">
        <f>E236-D236</f>
        <v/>
      </c>
      <c r="J236" s="2">
        <f>IF(ISNUMBER(F236),F236-D236,"")</f>
        <v/>
      </c>
      <c r="K236" s="2">
        <f>G236-D236</f>
        <v/>
      </c>
      <c r="L236" s="2">
        <f>ABS(I236)</f>
        <v/>
      </c>
      <c r="M236" s="2">
        <f>IF(ISNUMBER(F236),ABS(F236-D236),"")</f>
        <v/>
      </c>
      <c r="N236" s="2">
        <f>ABS(K236)</f>
        <v/>
      </c>
      <c r="O236" s="3">
        <f>IF(D236=0,"",(E236-D236)/D236)</f>
        <v/>
      </c>
      <c r="P236" s="3">
        <f>IF(ISNUMBER(F236),IF(D236=0,"",(F236-D236)/D236),"")</f>
        <v/>
      </c>
      <c r="Q236" s="3">
        <f>IF(D236=0,"",(G236-D236)/D236)</f>
        <v/>
      </c>
    </row>
    <row r="237">
      <c r="A237" t="inlineStr">
        <is>
          <t>HP2/01/125gsm/2440mm</t>
        </is>
      </c>
      <c r="B237" t="inlineStr">
        <is>
          <t>SCOC</t>
        </is>
      </c>
      <c r="C237" t="inlineStr">
        <is>
          <t>2026-09</t>
        </is>
      </c>
      <c r="D237" s="2" t="n">
        <v>326.654</v>
      </c>
      <c r="E237" s="2" t="n">
        <v>250</v>
      </c>
      <c r="F237" s="2" t="n">
        <v>244</v>
      </c>
      <c r="G237" s="2" t="n">
        <v>263.458</v>
      </c>
      <c r="H237">
        <f>ISNUMBER(F237)</f>
        <v/>
      </c>
      <c r="I237" s="2">
        <f>E237-D237</f>
        <v/>
      </c>
      <c r="J237" s="2">
        <f>IF(ISNUMBER(F237),F237-D237,"")</f>
        <v/>
      </c>
      <c r="K237" s="2">
        <f>G237-D237</f>
        <v/>
      </c>
      <c r="L237" s="2">
        <f>ABS(I237)</f>
        <v/>
      </c>
      <c r="M237" s="2">
        <f>IF(ISNUMBER(F237),ABS(F237-D237),"")</f>
        <v/>
      </c>
      <c r="N237" s="2">
        <f>ABS(K237)</f>
        <v/>
      </c>
      <c r="O237" s="3">
        <f>IF(D237=0,"",(E237-D237)/D237)</f>
        <v/>
      </c>
      <c r="P237" s="3">
        <f>IF(ISNUMBER(F237),IF(D237=0,"",(F237-D237)/D237),"")</f>
        <v/>
      </c>
      <c r="Q237" s="3">
        <f>IF(D237=0,"",(G237-D237)/D237)</f>
        <v/>
      </c>
    </row>
    <row r="238">
      <c r="A238" t="inlineStr">
        <is>
          <t>HP2/01/127gsm/2640mm</t>
        </is>
      </c>
      <c r="B238" t="inlineStr">
        <is>
          <t>SCOC</t>
        </is>
      </c>
      <c r="C238" t="inlineStr">
        <is>
          <t>2026-09</t>
        </is>
      </c>
      <c r="D238" s="2" t="n">
        <v>116.919</v>
      </c>
      <c r="E238" s="2" t="n">
        <v>145</v>
      </c>
      <c r="F238" s="4" t="inlineStr">
        <is>
          <t>faltante</t>
        </is>
      </c>
      <c r="G238" s="2" t="n">
        <v>58.893</v>
      </c>
      <c r="H238">
        <f>ISNUMBER(F238)</f>
        <v/>
      </c>
      <c r="I238" s="2">
        <f>E238-D238</f>
        <v/>
      </c>
      <c r="J238" s="2">
        <f>IF(ISNUMBER(F238),F238-D238,"")</f>
        <v/>
      </c>
      <c r="K238" s="2">
        <f>G238-D238</f>
        <v/>
      </c>
      <c r="L238" s="2">
        <f>ABS(I238)</f>
        <v/>
      </c>
      <c r="M238" s="2">
        <f>IF(ISNUMBER(F238),ABS(F238-D238),"")</f>
        <v/>
      </c>
      <c r="N238" s="2">
        <f>ABS(K238)</f>
        <v/>
      </c>
      <c r="O238" s="3">
        <f>IF(D238=0,"",(E238-D238)/D238)</f>
        <v/>
      </c>
      <c r="P238" s="3">
        <f>IF(ISNUMBER(F238),IF(D238=0,"",(F238-D238)/D238),"")</f>
        <v/>
      </c>
      <c r="Q238" s="3">
        <f>IF(D238=0,"",(G238-D238)/D238)</f>
        <v/>
      </c>
    </row>
    <row r="239">
      <c r="A239" t="inlineStr">
        <is>
          <t>HP2/01/127gsm/2790mm</t>
        </is>
      </c>
      <c r="B239" t="inlineStr">
        <is>
          <t>SCOC</t>
        </is>
      </c>
      <c r="C239" t="inlineStr">
        <is>
          <t>2026-09</t>
        </is>
      </c>
      <c r="D239" s="2" t="n">
        <v>144.622</v>
      </c>
      <c r="E239" s="2" t="n">
        <v>175</v>
      </c>
      <c r="F239" s="4" t="inlineStr">
        <is>
          <t>faltante</t>
        </is>
      </c>
      <c r="G239" s="2" t="n">
        <v>55.262</v>
      </c>
      <c r="H239">
        <f>ISNUMBER(F239)</f>
        <v/>
      </c>
      <c r="I239" s="2">
        <f>E239-D239</f>
        <v/>
      </c>
      <c r="J239" s="2">
        <f>IF(ISNUMBER(F239),F239-D239,"")</f>
        <v/>
      </c>
      <c r="K239" s="2">
        <f>G239-D239</f>
        <v/>
      </c>
      <c r="L239" s="2">
        <f>ABS(I239)</f>
        <v/>
      </c>
      <c r="M239" s="2">
        <f>IF(ISNUMBER(F239),ABS(F239-D239),"")</f>
        <v/>
      </c>
      <c r="N239" s="2">
        <f>ABS(K239)</f>
        <v/>
      </c>
      <c r="O239" s="3">
        <f>IF(D239=0,"",(E239-D239)/D239)</f>
        <v/>
      </c>
      <c r="P239" s="3">
        <f>IF(ISNUMBER(F239),IF(D239=0,"",(F239-D239)/D239),"")</f>
        <v/>
      </c>
      <c r="Q239" s="3">
        <f>IF(D239=0,"",(G239-D239)/D239)</f>
        <v/>
      </c>
    </row>
    <row r="240">
      <c r="A240" t="inlineStr">
        <is>
          <t>HP2/01/155gsm/2190mm</t>
        </is>
      </c>
      <c r="B240" t="inlineStr">
        <is>
          <t>SCOC</t>
        </is>
      </c>
      <c r="C240" t="inlineStr">
        <is>
          <t>2026-09</t>
        </is>
      </c>
      <c r="D240" s="2" t="n">
        <v>76.173</v>
      </c>
      <c r="E240" s="2" t="n">
        <v>100</v>
      </c>
      <c r="F240" s="2" t="n">
        <v>91</v>
      </c>
      <c r="G240" s="2" t="n">
        <v>104.559</v>
      </c>
      <c r="H240">
        <f>ISNUMBER(F240)</f>
        <v/>
      </c>
      <c r="I240" s="2">
        <f>E240-D240</f>
        <v/>
      </c>
      <c r="J240" s="2">
        <f>IF(ISNUMBER(F240),F240-D240,"")</f>
        <v/>
      </c>
      <c r="K240" s="2">
        <f>G240-D240</f>
        <v/>
      </c>
      <c r="L240" s="2">
        <f>ABS(I240)</f>
        <v/>
      </c>
      <c r="M240" s="2">
        <f>IF(ISNUMBER(F240),ABS(F240-D240),"")</f>
        <v/>
      </c>
      <c r="N240" s="2">
        <f>ABS(K240)</f>
        <v/>
      </c>
      <c r="O240" s="3">
        <f>IF(D240=0,"",(E240-D240)/D240)</f>
        <v/>
      </c>
      <c r="P240" s="3">
        <f>IF(ISNUMBER(F240),IF(D240=0,"",(F240-D240)/D240),"")</f>
        <v/>
      </c>
      <c r="Q240" s="3">
        <f>IF(D240=0,"",(G240-D240)/D240)</f>
        <v/>
      </c>
    </row>
    <row r="241">
      <c r="A241" t="inlineStr">
        <is>
          <t>HP2/01/155gsm/2440mm</t>
        </is>
      </c>
      <c r="B241" t="inlineStr">
        <is>
          <t>SCOC</t>
        </is>
      </c>
      <c r="C241" t="inlineStr">
        <is>
          <t>2026-09</t>
        </is>
      </c>
      <c r="D241" s="2" t="n">
        <v>123.627</v>
      </c>
      <c r="E241" s="2" t="n">
        <v>110</v>
      </c>
      <c r="F241" s="2" t="n">
        <v>98</v>
      </c>
      <c r="G241" s="2" t="n">
        <v>124.356</v>
      </c>
      <c r="H241">
        <f>ISNUMBER(F241)</f>
        <v/>
      </c>
      <c r="I241" s="2">
        <f>E241-D241</f>
        <v/>
      </c>
      <c r="J241" s="2">
        <f>IF(ISNUMBER(F241),F241-D241,"")</f>
        <v/>
      </c>
      <c r="K241" s="2">
        <f>G241-D241</f>
        <v/>
      </c>
      <c r="L241" s="2">
        <f>ABS(I241)</f>
        <v/>
      </c>
      <c r="M241" s="2">
        <f>IF(ISNUMBER(F241),ABS(F241-D241),"")</f>
        <v/>
      </c>
      <c r="N241" s="2">
        <f>ABS(K241)</f>
        <v/>
      </c>
      <c r="O241" s="3">
        <f>IF(D241=0,"",(E241-D241)/D241)</f>
        <v/>
      </c>
      <c r="P241" s="3">
        <f>IF(ISNUMBER(F241),IF(D241=0,"",(F241-D241)/D241),"")</f>
        <v/>
      </c>
      <c r="Q241" s="3">
        <f>IF(D241=0,"",(G241-D241)/D241)</f>
        <v/>
      </c>
    </row>
    <row r="242">
      <c r="A242" t="inlineStr">
        <is>
          <t>HP2/01/155gsm/2640mm</t>
        </is>
      </c>
      <c r="B242" t="inlineStr">
        <is>
          <t>SCOC</t>
        </is>
      </c>
      <c r="C242" t="inlineStr">
        <is>
          <t>2026-09</t>
        </is>
      </c>
      <c r="D242" s="2" t="n">
        <v>132.979</v>
      </c>
      <c r="E242" s="2" t="n">
        <v>90</v>
      </c>
      <c r="F242" s="2" t="n">
        <v>51</v>
      </c>
      <c r="G242" s="2" t="n">
        <v>105.985</v>
      </c>
      <c r="H242">
        <f>ISNUMBER(F242)</f>
        <v/>
      </c>
      <c r="I242" s="2">
        <f>E242-D242</f>
        <v/>
      </c>
      <c r="J242" s="2">
        <f>IF(ISNUMBER(F242),F242-D242,"")</f>
        <v/>
      </c>
      <c r="K242" s="2">
        <f>G242-D242</f>
        <v/>
      </c>
      <c r="L242" s="2">
        <f>ABS(I242)</f>
        <v/>
      </c>
      <c r="M242" s="2">
        <f>IF(ISNUMBER(F242),ABS(F242-D242),"")</f>
        <v/>
      </c>
      <c r="N242" s="2">
        <f>ABS(K242)</f>
        <v/>
      </c>
      <c r="O242" s="3">
        <f>IF(D242=0,"",(E242-D242)/D242)</f>
        <v/>
      </c>
      <c r="P242" s="3">
        <f>IF(ISNUMBER(F242),IF(D242=0,"",(F242-D242)/D242),"")</f>
        <v/>
      </c>
      <c r="Q242" s="3">
        <f>IF(D242=0,"",(G242-D242)/D242)</f>
        <v/>
      </c>
    </row>
    <row r="243">
      <c r="A243" t="inlineStr">
        <is>
          <t>HP2/01/155gsm/2790mm</t>
        </is>
      </c>
      <c r="B243" t="inlineStr">
        <is>
          <t>SCOC</t>
        </is>
      </c>
      <c r="C243" t="inlineStr">
        <is>
          <t>2026-09</t>
        </is>
      </c>
      <c r="D243" s="2" t="n">
        <v>124.215</v>
      </c>
      <c r="E243" s="2" t="n">
        <v>120</v>
      </c>
      <c r="F243" s="2" t="n">
        <v>88</v>
      </c>
      <c r="G243" s="2" t="n">
        <v>120.086</v>
      </c>
      <c r="H243">
        <f>ISNUMBER(F243)</f>
        <v/>
      </c>
      <c r="I243" s="2">
        <f>E243-D243</f>
        <v/>
      </c>
      <c r="J243" s="2">
        <f>IF(ISNUMBER(F243),F243-D243,"")</f>
        <v/>
      </c>
      <c r="K243" s="2">
        <f>G243-D243</f>
        <v/>
      </c>
      <c r="L243" s="2">
        <f>ABS(I243)</f>
        <v/>
      </c>
      <c r="M243" s="2">
        <f>IF(ISNUMBER(F243),ABS(F243-D243),"")</f>
        <v/>
      </c>
      <c r="N243" s="2">
        <f>ABS(K243)</f>
        <v/>
      </c>
      <c r="O243" s="3">
        <f>IF(D243=0,"",(E243-D243)/D243)</f>
        <v/>
      </c>
      <c r="P243" s="3">
        <f>IF(ISNUMBER(F243),IF(D243=0,"",(F243-D243)/D243),"")</f>
        <v/>
      </c>
      <c r="Q243" s="3">
        <f>IF(D243=0,"",(G243-D243)/D243)</f>
        <v/>
      </c>
    </row>
    <row r="244">
      <c r="A244" t="inlineStr">
        <is>
          <t>K/01/135gsm/2200mm</t>
        </is>
      </c>
      <c r="B244" t="inlineStr">
        <is>
          <t>SCOC</t>
        </is>
      </c>
      <c r="C244" t="inlineStr">
        <is>
          <t>2026-09</t>
        </is>
      </c>
      <c r="D244" s="2" t="n">
        <v>33.032</v>
      </c>
      <c r="E244" s="2" t="n">
        <v>35</v>
      </c>
      <c r="F244" s="2" t="n">
        <v>31</v>
      </c>
      <c r="G244" s="2" t="n">
        <v>32.65</v>
      </c>
      <c r="H244">
        <f>ISNUMBER(F244)</f>
        <v/>
      </c>
      <c r="I244" s="2">
        <f>E244-D244</f>
        <v/>
      </c>
      <c r="J244" s="2">
        <f>IF(ISNUMBER(F244),F244-D244,"")</f>
        <v/>
      </c>
      <c r="K244" s="2">
        <f>G244-D244</f>
        <v/>
      </c>
      <c r="L244" s="2">
        <f>ABS(I244)</f>
        <v/>
      </c>
      <c r="M244" s="2">
        <f>IF(ISNUMBER(F244),ABS(F244-D244),"")</f>
        <v/>
      </c>
      <c r="N244" s="2">
        <f>ABS(K244)</f>
        <v/>
      </c>
      <c r="O244" s="3">
        <f>IF(D244=0,"",(E244-D244)/D244)</f>
        <v/>
      </c>
      <c r="P244" s="3">
        <f>IF(ISNUMBER(F244),IF(D244=0,"",(F244-D244)/D244),"")</f>
        <v/>
      </c>
      <c r="Q244" s="3">
        <f>IF(D244=0,"",(G244-D244)/D244)</f>
        <v/>
      </c>
    </row>
    <row r="245">
      <c r="A245" t="inlineStr">
        <is>
          <t>K/01/135gsm/2450mm</t>
        </is>
      </c>
      <c r="B245" t="inlineStr">
        <is>
          <t>SCOC</t>
        </is>
      </c>
      <c r="C245" t="inlineStr">
        <is>
          <t>2026-09</t>
        </is>
      </c>
      <c r="D245" s="2" t="n">
        <v>101.332</v>
      </c>
      <c r="E245" s="2" t="n">
        <v>95</v>
      </c>
      <c r="F245" s="2" t="n">
        <v>80</v>
      </c>
      <c r="G245" s="2" t="n">
        <v>77.794</v>
      </c>
      <c r="H245">
        <f>ISNUMBER(F245)</f>
        <v/>
      </c>
      <c r="I245" s="2">
        <f>E245-D245</f>
        <v/>
      </c>
      <c r="J245" s="2">
        <f>IF(ISNUMBER(F245),F245-D245,"")</f>
        <v/>
      </c>
      <c r="K245" s="2">
        <f>G245-D245</f>
        <v/>
      </c>
      <c r="L245" s="2">
        <f>ABS(I245)</f>
        <v/>
      </c>
      <c r="M245" s="2">
        <f>IF(ISNUMBER(F245),ABS(F245-D245),"")</f>
        <v/>
      </c>
      <c r="N245" s="2">
        <f>ABS(K245)</f>
        <v/>
      </c>
      <c r="O245" s="3">
        <f>IF(D245=0,"",(E245-D245)/D245)</f>
        <v/>
      </c>
      <c r="P245" s="3">
        <f>IF(ISNUMBER(F245),IF(D245=0,"",(F245-D245)/D245),"")</f>
        <v/>
      </c>
      <c r="Q245" s="3">
        <f>IF(D245=0,"",(G245-D245)/D245)</f>
        <v/>
      </c>
    </row>
    <row r="246">
      <c r="A246" t="inlineStr">
        <is>
          <t>K/01/135gsm/2650mm</t>
        </is>
      </c>
      <c r="B246" t="inlineStr">
        <is>
          <t>SCOC</t>
        </is>
      </c>
      <c r="C246" t="inlineStr">
        <is>
          <t>2026-09</t>
        </is>
      </c>
      <c r="D246" s="2" t="n">
        <v>40.862</v>
      </c>
      <c r="E246" s="2" t="n">
        <v>60</v>
      </c>
      <c r="F246" s="2" t="n">
        <v>60</v>
      </c>
      <c r="G246" s="2" t="n">
        <v>53.824</v>
      </c>
      <c r="H246">
        <f>ISNUMBER(F246)</f>
        <v/>
      </c>
      <c r="I246" s="2">
        <f>E246-D246</f>
        <v/>
      </c>
      <c r="J246" s="2">
        <f>IF(ISNUMBER(F246),F246-D246,"")</f>
        <v/>
      </c>
      <c r="K246" s="2">
        <f>G246-D246</f>
        <v/>
      </c>
      <c r="L246" s="2">
        <f>ABS(I246)</f>
        <v/>
      </c>
      <c r="M246" s="2">
        <f>IF(ISNUMBER(F246),ABS(F246-D246),"")</f>
        <v/>
      </c>
      <c r="N246" s="2">
        <f>ABS(K246)</f>
        <v/>
      </c>
      <c r="O246" s="3">
        <f>IF(D246=0,"",(E246-D246)/D246)</f>
        <v/>
      </c>
      <c r="P246" s="3">
        <f>IF(ISNUMBER(F246),IF(D246=0,"",(F246-D246)/D246),"")</f>
        <v/>
      </c>
      <c r="Q246" s="3">
        <f>IF(D246=0,"",(G246-D246)/D246)</f>
        <v/>
      </c>
    </row>
    <row r="247">
      <c r="A247" t="inlineStr">
        <is>
          <t>K/01/135gsm/2800mm</t>
        </is>
      </c>
      <c r="B247" t="inlineStr">
        <is>
          <t>SCOC</t>
        </is>
      </c>
      <c r="C247" t="inlineStr">
        <is>
          <t>2026-09</t>
        </is>
      </c>
      <c r="D247" s="2" t="n">
        <v>49.788</v>
      </c>
      <c r="E247" s="2" t="n">
        <v>40</v>
      </c>
      <c r="F247" s="2" t="n">
        <v>34</v>
      </c>
      <c r="G247" s="2" t="n">
        <v>46.094</v>
      </c>
      <c r="H247">
        <f>ISNUMBER(F247)</f>
        <v/>
      </c>
      <c r="I247" s="2">
        <f>E247-D247</f>
        <v/>
      </c>
      <c r="J247" s="2">
        <f>IF(ISNUMBER(F247),F247-D247,"")</f>
        <v/>
      </c>
      <c r="K247" s="2">
        <f>G247-D247</f>
        <v/>
      </c>
      <c r="L247" s="2">
        <f>ABS(I247)</f>
        <v/>
      </c>
      <c r="M247" s="2">
        <f>IF(ISNUMBER(F247),ABS(F247-D247),"")</f>
        <v/>
      </c>
      <c r="N247" s="2">
        <f>ABS(K247)</f>
        <v/>
      </c>
      <c r="O247" s="3">
        <f>IF(D247=0,"",(E247-D247)/D247)</f>
        <v/>
      </c>
      <c r="P247" s="3">
        <f>IF(ISNUMBER(F247),IF(D247=0,"",(F247-D247)/D247),"")</f>
        <v/>
      </c>
      <c r="Q247" s="3">
        <f>IF(D247=0,"",(G247-D247)/D247)</f>
        <v/>
      </c>
    </row>
    <row r="248">
      <c r="A248" t="inlineStr">
        <is>
          <t>K/01/160gsm/2200mm</t>
        </is>
      </c>
      <c r="B248" t="inlineStr">
        <is>
          <t>SCOC</t>
        </is>
      </c>
      <c r="C248" t="inlineStr">
        <is>
          <t>2026-09</t>
        </is>
      </c>
      <c r="D248" s="2" t="n">
        <v>36.206</v>
      </c>
      <c r="E248" s="2" t="n">
        <v>45</v>
      </c>
      <c r="F248" s="2" t="n">
        <v>39</v>
      </c>
      <c r="G248" s="2" t="n">
        <v>41.992</v>
      </c>
      <c r="H248">
        <f>ISNUMBER(F248)</f>
        <v/>
      </c>
      <c r="I248" s="2">
        <f>E248-D248</f>
        <v/>
      </c>
      <c r="J248" s="2">
        <f>IF(ISNUMBER(F248),F248-D248,"")</f>
        <v/>
      </c>
      <c r="K248" s="2">
        <f>G248-D248</f>
        <v/>
      </c>
      <c r="L248" s="2">
        <f>ABS(I248)</f>
        <v/>
      </c>
      <c r="M248" s="2">
        <f>IF(ISNUMBER(F248),ABS(F248-D248),"")</f>
        <v/>
      </c>
      <c r="N248" s="2">
        <f>ABS(K248)</f>
        <v/>
      </c>
      <c r="O248" s="3">
        <f>IF(D248=0,"",(E248-D248)/D248)</f>
        <v/>
      </c>
      <c r="P248" s="3">
        <f>IF(ISNUMBER(F248),IF(D248=0,"",(F248-D248)/D248),"")</f>
        <v/>
      </c>
      <c r="Q248" s="3">
        <f>IF(D248=0,"",(G248-D248)/D248)</f>
        <v/>
      </c>
    </row>
    <row r="249">
      <c r="A249" t="inlineStr">
        <is>
          <t>K/01/160gsm/2450mm</t>
        </is>
      </c>
      <c r="B249" t="inlineStr">
        <is>
          <t>SCOC</t>
        </is>
      </c>
      <c r="C249" t="inlineStr">
        <is>
          <t>2026-09</t>
        </is>
      </c>
      <c r="D249" s="2" t="n">
        <v>79.678</v>
      </c>
      <c r="E249" s="2" t="n">
        <v>55</v>
      </c>
      <c r="F249" s="2" t="n">
        <v>33</v>
      </c>
      <c r="G249" s="2" t="n">
        <v>58.439</v>
      </c>
      <c r="H249">
        <f>ISNUMBER(F249)</f>
        <v/>
      </c>
      <c r="I249" s="2">
        <f>E249-D249</f>
        <v/>
      </c>
      <c r="J249" s="2">
        <f>IF(ISNUMBER(F249),F249-D249,"")</f>
        <v/>
      </c>
      <c r="K249" s="2">
        <f>G249-D249</f>
        <v/>
      </c>
      <c r="L249" s="2">
        <f>ABS(I249)</f>
        <v/>
      </c>
      <c r="M249" s="2">
        <f>IF(ISNUMBER(F249),ABS(F249-D249),"")</f>
        <v/>
      </c>
      <c r="N249" s="2">
        <f>ABS(K249)</f>
        <v/>
      </c>
      <c r="O249" s="3">
        <f>IF(D249=0,"",(E249-D249)/D249)</f>
        <v/>
      </c>
      <c r="P249" s="3">
        <f>IF(ISNUMBER(F249),IF(D249=0,"",(F249-D249)/D249),"")</f>
        <v/>
      </c>
      <c r="Q249" s="3">
        <f>IF(D249=0,"",(G249-D249)/D249)</f>
        <v/>
      </c>
    </row>
    <row r="250">
      <c r="A250" t="inlineStr">
        <is>
          <t>K/01/160gsm/2650mm</t>
        </is>
      </c>
      <c r="B250" t="inlineStr">
        <is>
          <t>SCOC</t>
        </is>
      </c>
      <c r="C250" t="inlineStr">
        <is>
          <t>2026-09</t>
        </is>
      </c>
      <c r="D250" s="2" t="n">
        <v>64.62</v>
      </c>
      <c r="E250" s="2" t="n">
        <v>40</v>
      </c>
      <c r="F250" s="2" t="n">
        <v>30</v>
      </c>
      <c r="G250" s="2" t="n">
        <v>43.426</v>
      </c>
      <c r="H250">
        <f>ISNUMBER(F250)</f>
        <v/>
      </c>
      <c r="I250" s="2">
        <f>E250-D250</f>
        <v/>
      </c>
      <c r="J250" s="2">
        <f>IF(ISNUMBER(F250),F250-D250,"")</f>
        <v/>
      </c>
      <c r="K250" s="2">
        <f>G250-D250</f>
        <v/>
      </c>
      <c r="L250" s="2">
        <f>ABS(I250)</f>
        <v/>
      </c>
      <c r="M250" s="2">
        <f>IF(ISNUMBER(F250),ABS(F250-D250),"")</f>
        <v/>
      </c>
      <c r="N250" s="2">
        <f>ABS(K250)</f>
        <v/>
      </c>
      <c r="O250" s="3">
        <f>IF(D250=0,"",(E250-D250)/D250)</f>
        <v/>
      </c>
      <c r="P250" s="3">
        <f>IF(ISNUMBER(F250),IF(D250=0,"",(F250-D250)/D250),"")</f>
        <v/>
      </c>
      <c r="Q250" s="3">
        <f>IF(D250=0,"",(G250-D250)/D250)</f>
        <v/>
      </c>
    </row>
    <row r="251">
      <c r="A251" t="inlineStr">
        <is>
          <t>K/01/160gsm/2800mm</t>
        </is>
      </c>
      <c r="B251" t="inlineStr">
        <is>
          <t>SCOC</t>
        </is>
      </c>
      <c r="C251" t="inlineStr">
        <is>
          <t>2026-09</t>
        </is>
      </c>
      <c r="D251" s="2" t="n">
        <v>36.26</v>
      </c>
      <c r="E251" s="2" t="n">
        <v>58</v>
      </c>
      <c r="F251" s="2" t="n">
        <v>26</v>
      </c>
      <c r="G251" s="2" t="n">
        <v>56.209</v>
      </c>
      <c r="H251">
        <f>ISNUMBER(F251)</f>
        <v/>
      </c>
      <c r="I251" s="2">
        <f>E251-D251</f>
        <v/>
      </c>
      <c r="J251" s="2">
        <f>IF(ISNUMBER(F251),F251-D251,"")</f>
        <v/>
      </c>
      <c r="K251" s="2">
        <f>G251-D251</f>
        <v/>
      </c>
      <c r="L251" s="2">
        <f>ABS(I251)</f>
        <v/>
      </c>
      <c r="M251" s="2">
        <f>IF(ISNUMBER(F251),ABS(F251-D251),"")</f>
        <v/>
      </c>
      <c r="N251" s="2">
        <f>ABS(K251)</f>
        <v/>
      </c>
      <c r="O251" s="3">
        <f>IF(D251=0,"",(E251-D251)/D251)</f>
        <v/>
      </c>
      <c r="P251" s="3">
        <f>IF(ISNUMBER(F251),IF(D251=0,"",(F251-D251)/D251),"")</f>
        <v/>
      </c>
      <c r="Q251" s="3">
        <f>IF(D251=0,"",(G251-D251)/D251)</f>
        <v/>
      </c>
    </row>
    <row r="252">
      <c r="A252" t="inlineStr">
        <is>
          <t>KW2/01/115gsm/2200mm</t>
        </is>
      </c>
      <c r="B252" t="inlineStr">
        <is>
          <t>SCOC</t>
        </is>
      </c>
      <c r="C252" t="inlineStr">
        <is>
          <t>2026-09</t>
        </is>
      </c>
      <c r="D252" s="2" t="n">
        <v>36.265</v>
      </c>
      <c r="E252" s="2" t="n">
        <v>40</v>
      </c>
      <c r="F252" s="4" t="inlineStr">
        <is>
          <t>faltante</t>
        </is>
      </c>
      <c r="G252" s="2" t="n">
        <v>43.414</v>
      </c>
      <c r="H252">
        <f>ISNUMBER(F252)</f>
        <v/>
      </c>
      <c r="I252" s="2">
        <f>E252-D252</f>
        <v/>
      </c>
      <c r="J252" s="2">
        <f>IF(ISNUMBER(F252),F252-D252,"")</f>
        <v/>
      </c>
      <c r="K252" s="2">
        <f>G252-D252</f>
        <v/>
      </c>
      <c r="L252" s="2">
        <f>ABS(I252)</f>
        <v/>
      </c>
      <c r="M252" s="2">
        <f>IF(ISNUMBER(F252),ABS(F252-D252),"")</f>
        <v/>
      </c>
      <c r="N252" s="2">
        <f>ABS(K252)</f>
        <v/>
      </c>
      <c r="O252" s="3">
        <f>IF(D252=0,"",(E252-D252)/D252)</f>
        <v/>
      </c>
      <c r="P252" s="3">
        <f>IF(ISNUMBER(F252),IF(D252=0,"",(F252-D252)/D252),"")</f>
        <v/>
      </c>
      <c r="Q252" s="3">
        <f>IF(D252=0,"",(G252-D252)/D252)</f>
        <v/>
      </c>
    </row>
    <row r="253">
      <c r="A253" t="inlineStr">
        <is>
          <t>KW2/01/115gsm/2450mm</t>
        </is>
      </c>
      <c r="B253" t="inlineStr">
        <is>
          <t>SCOC</t>
        </is>
      </c>
      <c r="C253" t="inlineStr">
        <is>
          <t>2026-09</t>
        </is>
      </c>
      <c r="D253" s="2" t="n">
        <v>53.4</v>
      </c>
      <c r="E253" s="2" t="n">
        <v>65</v>
      </c>
      <c r="F253" s="4" t="inlineStr">
        <is>
          <t>faltante</t>
        </is>
      </c>
      <c r="G253" s="2" t="n">
        <v>50.452</v>
      </c>
      <c r="H253">
        <f>ISNUMBER(F253)</f>
        <v/>
      </c>
      <c r="I253" s="2">
        <f>E253-D253</f>
        <v/>
      </c>
      <c r="J253" s="2">
        <f>IF(ISNUMBER(F253),F253-D253,"")</f>
        <v/>
      </c>
      <c r="K253" s="2">
        <f>G253-D253</f>
        <v/>
      </c>
      <c r="L253" s="2">
        <f>ABS(I253)</f>
        <v/>
      </c>
      <c r="M253" s="2">
        <f>IF(ISNUMBER(F253),ABS(F253-D253),"")</f>
        <v/>
      </c>
      <c r="N253" s="2">
        <f>ABS(K253)</f>
        <v/>
      </c>
      <c r="O253" s="3">
        <f>IF(D253=0,"",(E253-D253)/D253)</f>
        <v/>
      </c>
      <c r="P253" s="3">
        <f>IF(ISNUMBER(F253),IF(D253=0,"",(F253-D253)/D253),"")</f>
        <v/>
      </c>
      <c r="Q253" s="3">
        <f>IF(D253=0,"",(G253-D253)/D253)</f>
        <v/>
      </c>
    </row>
    <row r="254">
      <c r="A254" t="inlineStr">
        <is>
          <t>KW2/01/115gsm/2650mm</t>
        </is>
      </c>
      <c r="B254" t="inlineStr">
        <is>
          <t>SCOC</t>
        </is>
      </c>
      <c r="C254" t="inlineStr">
        <is>
          <t>2026-09</t>
        </is>
      </c>
      <c r="D254" s="2" t="n">
        <v>81.235</v>
      </c>
      <c r="E254" s="2" t="n">
        <v>55</v>
      </c>
      <c r="F254" s="4" t="inlineStr">
        <is>
          <t>faltante</t>
        </is>
      </c>
      <c r="G254" s="2" t="n">
        <v>59.846</v>
      </c>
      <c r="H254">
        <f>ISNUMBER(F254)</f>
        <v/>
      </c>
      <c r="I254" s="2">
        <f>E254-D254</f>
        <v/>
      </c>
      <c r="J254" s="2">
        <f>IF(ISNUMBER(F254),F254-D254,"")</f>
        <v/>
      </c>
      <c r="K254" s="2">
        <f>G254-D254</f>
        <v/>
      </c>
      <c r="L254" s="2">
        <f>ABS(I254)</f>
        <v/>
      </c>
      <c r="M254" s="2">
        <f>IF(ISNUMBER(F254),ABS(F254-D254),"")</f>
        <v/>
      </c>
      <c r="N254" s="2">
        <f>ABS(K254)</f>
        <v/>
      </c>
      <c r="O254" s="3">
        <f>IF(D254=0,"",(E254-D254)/D254)</f>
        <v/>
      </c>
      <c r="P254" s="3">
        <f>IF(ISNUMBER(F254),IF(D254=0,"",(F254-D254)/D254),"")</f>
        <v/>
      </c>
      <c r="Q254" s="3">
        <f>IF(D254=0,"",(G254-D254)/D254)</f>
        <v/>
      </c>
    </row>
    <row r="255">
      <c r="A255" t="inlineStr">
        <is>
          <t>KW2/01/115gsm/2800mm</t>
        </is>
      </c>
      <c r="B255" t="inlineStr">
        <is>
          <t>SCOC</t>
        </is>
      </c>
      <c r="C255" t="inlineStr">
        <is>
          <t>2026-09</t>
        </is>
      </c>
      <c r="D255" s="2" t="n">
        <v>92.31</v>
      </c>
      <c r="E255" s="2" t="n">
        <v>85</v>
      </c>
      <c r="F255" s="4" t="inlineStr">
        <is>
          <t>faltante</t>
        </is>
      </c>
      <c r="G255" s="2" t="n">
        <v>96.715</v>
      </c>
      <c r="H255">
        <f>ISNUMBER(F255)</f>
        <v/>
      </c>
      <c r="I255" s="2">
        <f>E255-D255</f>
        <v/>
      </c>
      <c r="J255" s="2">
        <f>IF(ISNUMBER(F255),F255-D255,"")</f>
        <v/>
      </c>
      <c r="K255" s="2">
        <f>G255-D255</f>
        <v/>
      </c>
      <c r="L255" s="2">
        <f>ABS(I255)</f>
        <v/>
      </c>
      <c r="M255" s="2">
        <f>IF(ISNUMBER(F255),ABS(F255-D255),"")</f>
        <v/>
      </c>
      <c r="N255" s="2">
        <f>ABS(K255)</f>
        <v/>
      </c>
      <c r="O255" s="3">
        <f>IF(D255=0,"",(E255-D255)/D255)</f>
        <v/>
      </c>
      <c r="P255" s="3">
        <f>IF(ISNUMBER(F255),IF(D255=0,"",(F255-D255)/D255),"")</f>
        <v/>
      </c>
      <c r="Q255" s="3">
        <f>IF(D255=0,"",(G255-D255)/D255)</f>
        <v/>
      </c>
    </row>
    <row r="256">
      <c r="A256" t="inlineStr">
        <is>
          <t>KW2/01/160gsm/2200mm</t>
        </is>
      </c>
      <c r="B256" t="inlineStr">
        <is>
          <t>SCOC</t>
        </is>
      </c>
      <c r="C256" t="inlineStr">
        <is>
          <t>2026-09</t>
        </is>
      </c>
      <c r="D256" s="2" t="n">
        <v>15.465</v>
      </c>
      <c r="E256" s="2" t="n">
        <v>40</v>
      </c>
      <c r="F256" s="2" t="n">
        <v>33</v>
      </c>
      <c r="G256" s="2" t="n">
        <v>31.635</v>
      </c>
      <c r="H256">
        <f>ISNUMBER(F256)</f>
        <v/>
      </c>
      <c r="I256" s="2">
        <f>E256-D256</f>
        <v/>
      </c>
      <c r="J256" s="2">
        <f>IF(ISNUMBER(F256),F256-D256,"")</f>
        <v/>
      </c>
      <c r="K256" s="2">
        <f>G256-D256</f>
        <v/>
      </c>
      <c r="L256" s="2">
        <f>ABS(I256)</f>
        <v/>
      </c>
      <c r="M256" s="2">
        <f>IF(ISNUMBER(F256),ABS(F256-D256),"")</f>
        <v/>
      </c>
      <c r="N256" s="2">
        <f>ABS(K256)</f>
        <v/>
      </c>
      <c r="O256" s="3">
        <f>IF(D256=0,"",(E256-D256)/D256)</f>
        <v/>
      </c>
      <c r="P256" s="3">
        <f>IF(ISNUMBER(F256),IF(D256=0,"",(F256-D256)/D256),"")</f>
        <v/>
      </c>
      <c r="Q256" s="3">
        <f>IF(D256=0,"",(G256-D256)/D256)</f>
        <v/>
      </c>
    </row>
    <row r="257">
      <c r="A257" t="inlineStr">
        <is>
          <t>TSL/01/100gsm/2200mm</t>
        </is>
      </c>
      <c r="B257" t="inlineStr">
        <is>
          <t>SCOC</t>
        </is>
      </c>
      <c r="C257" t="inlineStr">
        <is>
          <t>2026-09</t>
        </is>
      </c>
      <c r="D257" s="2" t="n">
        <v>64.884</v>
      </c>
      <c r="E257" s="2" t="n">
        <v>55</v>
      </c>
      <c r="F257" s="2" t="n">
        <v>88</v>
      </c>
      <c r="G257" s="2" t="n">
        <v>55.009</v>
      </c>
      <c r="H257">
        <f>ISNUMBER(F257)</f>
        <v/>
      </c>
      <c r="I257" s="2">
        <f>E257-D257</f>
        <v/>
      </c>
      <c r="J257" s="2">
        <f>IF(ISNUMBER(F257),F257-D257,"")</f>
        <v/>
      </c>
      <c r="K257" s="2">
        <f>G257-D257</f>
        <v/>
      </c>
      <c r="L257" s="2">
        <f>ABS(I257)</f>
        <v/>
      </c>
      <c r="M257" s="2">
        <f>IF(ISNUMBER(F257),ABS(F257-D257),"")</f>
        <v/>
      </c>
      <c r="N257" s="2">
        <f>ABS(K257)</f>
        <v/>
      </c>
      <c r="O257" s="3">
        <f>IF(D257=0,"",(E257-D257)/D257)</f>
        <v/>
      </c>
      <c r="P257" s="3">
        <f>IF(ISNUMBER(F257),IF(D257=0,"",(F257-D257)/D257),"")</f>
        <v/>
      </c>
      <c r="Q257" s="3">
        <f>IF(D257=0,"",(G257-D257)/D257)</f>
        <v/>
      </c>
    </row>
    <row r="258">
      <c r="A258" t="inlineStr">
        <is>
          <t>TSL/01/100gsm/2300mm</t>
        </is>
      </c>
      <c r="B258" t="inlineStr">
        <is>
          <t>SCOC</t>
        </is>
      </c>
      <c r="C258" t="inlineStr">
        <is>
          <t>2026-09</t>
        </is>
      </c>
      <c r="D258" s="2" t="n">
        <v>37.568</v>
      </c>
      <c r="E258" s="2" t="n">
        <v>50</v>
      </c>
      <c r="F258" s="2" t="n">
        <v>40</v>
      </c>
      <c r="G258" s="2" t="n">
        <v>42.165</v>
      </c>
      <c r="H258">
        <f>ISNUMBER(F258)</f>
        <v/>
      </c>
      <c r="I258" s="2">
        <f>E258-D258</f>
        <v/>
      </c>
      <c r="J258" s="2">
        <f>IF(ISNUMBER(F258),F258-D258,"")</f>
        <v/>
      </c>
      <c r="K258" s="2">
        <f>G258-D258</f>
        <v/>
      </c>
      <c r="L258" s="2">
        <f>ABS(I258)</f>
        <v/>
      </c>
      <c r="M258" s="2">
        <f>IF(ISNUMBER(F258),ABS(F258-D258),"")</f>
        <v/>
      </c>
      <c r="N258" s="2">
        <f>ABS(K258)</f>
        <v/>
      </c>
      <c r="O258" s="3">
        <f>IF(D258=0,"",(E258-D258)/D258)</f>
        <v/>
      </c>
      <c r="P258" s="3">
        <f>IF(ISNUMBER(F258),IF(D258=0,"",(F258-D258)/D258),"")</f>
        <v/>
      </c>
      <c r="Q258" s="3">
        <f>IF(D258=0,"",(G258-D258)/D258)</f>
        <v/>
      </c>
    </row>
    <row r="259">
      <c r="A259" t="inlineStr">
        <is>
          <t>TSL/01/100gsm/2450mm</t>
        </is>
      </c>
      <c r="B259" t="inlineStr">
        <is>
          <t>SCOC</t>
        </is>
      </c>
      <c r="C259" t="inlineStr">
        <is>
          <t>2026-09</t>
        </is>
      </c>
      <c r="D259" s="2" t="n">
        <v>102.648</v>
      </c>
      <c r="E259" s="2" t="n">
        <v>95</v>
      </c>
      <c r="F259" s="2" t="n">
        <v>99</v>
      </c>
      <c r="G259" s="2" t="n">
        <v>100.706</v>
      </c>
      <c r="H259">
        <f>ISNUMBER(F259)</f>
        <v/>
      </c>
      <c r="I259" s="2">
        <f>E259-D259</f>
        <v/>
      </c>
      <c r="J259" s="2">
        <f>IF(ISNUMBER(F259),F259-D259,"")</f>
        <v/>
      </c>
      <c r="K259" s="2">
        <f>G259-D259</f>
        <v/>
      </c>
      <c r="L259" s="2">
        <f>ABS(I259)</f>
        <v/>
      </c>
      <c r="M259" s="2">
        <f>IF(ISNUMBER(F259),ABS(F259-D259),"")</f>
        <v/>
      </c>
      <c r="N259" s="2">
        <f>ABS(K259)</f>
        <v/>
      </c>
      <c r="O259" s="3">
        <f>IF(D259=0,"",(E259-D259)/D259)</f>
        <v/>
      </c>
      <c r="P259" s="3">
        <f>IF(ISNUMBER(F259),IF(D259=0,"",(F259-D259)/D259),"")</f>
        <v/>
      </c>
      <c r="Q259" s="3">
        <f>IF(D259=0,"",(G259-D259)/D259)</f>
        <v/>
      </c>
    </row>
    <row r="260">
      <c r="A260" t="inlineStr">
        <is>
          <t>TSL/01/100gsm/2650mm</t>
        </is>
      </c>
      <c r="B260" t="inlineStr">
        <is>
          <t>SCOC</t>
        </is>
      </c>
      <c r="C260" t="inlineStr">
        <is>
          <t>2026-09</t>
        </is>
      </c>
      <c r="D260" s="2" t="n">
        <v>38.74</v>
      </c>
      <c r="E260" s="2" t="n">
        <v>40</v>
      </c>
      <c r="F260" s="2" t="n">
        <v>78</v>
      </c>
      <c r="G260" s="2" t="n">
        <v>35.995</v>
      </c>
      <c r="H260">
        <f>ISNUMBER(F260)</f>
        <v/>
      </c>
      <c r="I260" s="2">
        <f>E260-D260</f>
        <v/>
      </c>
      <c r="J260" s="2">
        <f>IF(ISNUMBER(F260),F260-D260,"")</f>
        <v/>
      </c>
      <c r="K260" s="2">
        <f>G260-D260</f>
        <v/>
      </c>
      <c r="L260" s="2">
        <f>ABS(I260)</f>
        <v/>
      </c>
      <c r="M260" s="2">
        <f>IF(ISNUMBER(F260),ABS(F260-D260),"")</f>
        <v/>
      </c>
      <c r="N260" s="2">
        <f>ABS(K260)</f>
        <v/>
      </c>
      <c r="O260" s="3">
        <f>IF(D260=0,"",(E260-D260)/D260)</f>
        <v/>
      </c>
      <c r="P260" s="3">
        <f>IF(ISNUMBER(F260),IF(D260=0,"",(F260-D260)/D260),"")</f>
        <v/>
      </c>
      <c r="Q260" s="3">
        <f>IF(D260=0,"",(G260-D260)/D260)</f>
        <v/>
      </c>
    </row>
    <row r="261">
      <c r="A261" t="inlineStr">
        <is>
          <t>TSL/01/100gsm/2800mm</t>
        </is>
      </c>
      <c r="B261" t="inlineStr">
        <is>
          <t>SCOC</t>
        </is>
      </c>
      <c r="C261" t="inlineStr">
        <is>
          <t>2026-09</t>
        </is>
      </c>
      <c r="D261" s="2" t="n">
        <v>79.408</v>
      </c>
      <c r="E261" s="2" t="n">
        <v>75</v>
      </c>
      <c r="F261" s="2" t="n">
        <v>91</v>
      </c>
      <c r="G261" s="2" t="n">
        <v>70.643</v>
      </c>
      <c r="H261">
        <f>ISNUMBER(F261)</f>
        <v/>
      </c>
      <c r="I261" s="2">
        <f>E261-D261</f>
        <v/>
      </c>
      <c r="J261" s="2">
        <f>IF(ISNUMBER(F261),F261-D261,"")</f>
        <v/>
      </c>
      <c r="K261" s="2">
        <f>G261-D261</f>
        <v/>
      </c>
      <c r="L261" s="2">
        <f>ABS(I261)</f>
        <v/>
      </c>
      <c r="M261" s="2">
        <f>IF(ISNUMBER(F261),ABS(F261-D261),"")</f>
        <v/>
      </c>
      <c r="N261" s="2">
        <f>ABS(K261)</f>
        <v/>
      </c>
      <c r="O261" s="3">
        <f>IF(D261=0,"",(E261-D261)/D261)</f>
        <v/>
      </c>
      <c r="P261" s="3">
        <f>IF(ISNUMBER(F261),IF(D261=0,"",(F261-D261)/D261),"")</f>
        <v/>
      </c>
      <c r="Q261" s="3">
        <f>IF(D261=0,"",(G261-D261)/D261)</f>
        <v/>
      </c>
    </row>
    <row r="262">
      <c r="A262" t="inlineStr">
        <is>
          <t>TSL/01/110gsm/2200mm</t>
        </is>
      </c>
      <c r="B262" t="inlineStr">
        <is>
          <t>SCOC</t>
        </is>
      </c>
      <c r="C262" t="inlineStr">
        <is>
          <t>2026-09</t>
        </is>
      </c>
      <c r="D262" s="2" t="n">
        <v>48.422</v>
      </c>
      <c r="E262" s="2" t="n">
        <v>50</v>
      </c>
      <c r="F262" s="2" t="n">
        <v>115</v>
      </c>
      <c r="G262" s="2" t="n">
        <v>49.466</v>
      </c>
      <c r="H262">
        <f>ISNUMBER(F262)</f>
        <v/>
      </c>
      <c r="I262" s="2">
        <f>E262-D262</f>
        <v/>
      </c>
      <c r="J262" s="2">
        <f>IF(ISNUMBER(F262),F262-D262,"")</f>
        <v/>
      </c>
      <c r="K262" s="2">
        <f>G262-D262</f>
        <v/>
      </c>
      <c r="L262" s="2">
        <f>ABS(I262)</f>
        <v/>
      </c>
      <c r="M262" s="2">
        <f>IF(ISNUMBER(F262),ABS(F262-D262),"")</f>
        <v/>
      </c>
      <c r="N262" s="2">
        <f>ABS(K262)</f>
        <v/>
      </c>
      <c r="O262" s="3">
        <f>IF(D262=0,"",(E262-D262)/D262)</f>
        <v/>
      </c>
      <c r="P262" s="3">
        <f>IF(ISNUMBER(F262),IF(D262=0,"",(F262-D262)/D262),"")</f>
        <v/>
      </c>
      <c r="Q262" s="3">
        <f>IF(D262=0,"",(G262-D262)/D262)</f>
        <v/>
      </c>
    </row>
    <row r="263">
      <c r="A263" t="inlineStr">
        <is>
          <t>TSL/01/110gsm/2450mm</t>
        </is>
      </c>
      <c r="B263" t="inlineStr">
        <is>
          <t>SCOC</t>
        </is>
      </c>
      <c r="C263" t="inlineStr">
        <is>
          <t>2026-09</t>
        </is>
      </c>
      <c r="D263" s="2" t="n">
        <v>53.29</v>
      </c>
      <c r="E263" s="2" t="n">
        <v>75</v>
      </c>
      <c r="F263" s="2" t="n">
        <v>120</v>
      </c>
      <c r="G263" s="2" t="n">
        <v>56.743</v>
      </c>
      <c r="H263">
        <f>ISNUMBER(F263)</f>
        <v/>
      </c>
      <c r="I263" s="2">
        <f>E263-D263</f>
        <v/>
      </c>
      <c r="J263" s="2">
        <f>IF(ISNUMBER(F263),F263-D263,"")</f>
        <v/>
      </c>
      <c r="K263" s="2">
        <f>G263-D263</f>
        <v/>
      </c>
      <c r="L263" s="2">
        <f>ABS(I263)</f>
        <v/>
      </c>
      <c r="M263" s="2">
        <f>IF(ISNUMBER(F263),ABS(F263-D263),"")</f>
        <v/>
      </c>
      <c r="N263" s="2">
        <f>ABS(K263)</f>
        <v/>
      </c>
      <c r="O263" s="3">
        <f>IF(D263=0,"",(E263-D263)/D263)</f>
        <v/>
      </c>
      <c r="P263" s="3">
        <f>IF(ISNUMBER(F263),IF(D263=0,"",(F263-D263)/D263),"")</f>
        <v/>
      </c>
      <c r="Q263" s="3">
        <f>IF(D263=0,"",(G263-D263)/D263)</f>
        <v/>
      </c>
    </row>
    <row r="264">
      <c r="A264" t="inlineStr">
        <is>
          <t>TSL/01/110gsm/2650mm</t>
        </is>
      </c>
      <c r="B264" t="inlineStr">
        <is>
          <t>SCOC</t>
        </is>
      </c>
      <c r="C264" t="inlineStr">
        <is>
          <t>2026-09</t>
        </is>
      </c>
      <c r="D264" s="2" t="n">
        <v>123.033</v>
      </c>
      <c r="E264" s="2" t="n">
        <v>95</v>
      </c>
      <c r="F264" s="2" t="n">
        <v>98</v>
      </c>
      <c r="G264" s="2" t="n">
        <v>89.84999999999999</v>
      </c>
      <c r="H264">
        <f>ISNUMBER(F264)</f>
        <v/>
      </c>
      <c r="I264" s="2">
        <f>E264-D264</f>
        <v/>
      </c>
      <c r="J264" s="2">
        <f>IF(ISNUMBER(F264),F264-D264,"")</f>
        <v/>
      </c>
      <c r="K264" s="2">
        <f>G264-D264</f>
        <v/>
      </c>
      <c r="L264" s="2">
        <f>ABS(I264)</f>
        <v/>
      </c>
      <c r="M264" s="2">
        <f>IF(ISNUMBER(F264),ABS(F264-D264),"")</f>
        <v/>
      </c>
      <c r="N264" s="2">
        <f>ABS(K264)</f>
        <v/>
      </c>
      <c r="O264" s="3">
        <f>IF(D264=0,"",(E264-D264)/D264)</f>
        <v/>
      </c>
      <c r="P264" s="3">
        <f>IF(ISNUMBER(F264),IF(D264=0,"",(F264-D264)/D264),"")</f>
        <v/>
      </c>
      <c r="Q264" s="3">
        <f>IF(D264=0,"",(G264-D264)/D264)</f>
        <v/>
      </c>
    </row>
    <row r="265">
      <c r="A265" t="inlineStr">
        <is>
          <t>TSL/01/110gsm/2800mm</t>
        </is>
      </c>
      <c r="B265" t="inlineStr">
        <is>
          <t>SCOC</t>
        </is>
      </c>
      <c r="C265" t="inlineStr">
        <is>
          <t>2026-09</t>
        </is>
      </c>
      <c r="D265" s="2" t="n">
        <v>193.098</v>
      </c>
      <c r="E265" s="2" t="n">
        <v>160</v>
      </c>
      <c r="F265" s="2" t="n">
        <v>111</v>
      </c>
      <c r="G265" s="2" t="n">
        <v>158.708</v>
      </c>
      <c r="H265">
        <f>ISNUMBER(F265)</f>
        <v/>
      </c>
      <c r="I265" s="2">
        <f>E265-D265</f>
        <v/>
      </c>
      <c r="J265" s="2">
        <f>IF(ISNUMBER(F265),F265-D265,"")</f>
        <v/>
      </c>
      <c r="K265" s="2">
        <f>G265-D265</f>
        <v/>
      </c>
      <c r="L265" s="2">
        <f>ABS(I265)</f>
        <v/>
      </c>
      <c r="M265" s="2">
        <f>IF(ISNUMBER(F265),ABS(F265-D265),"")</f>
        <v/>
      </c>
      <c r="N265" s="2">
        <f>ABS(K265)</f>
        <v/>
      </c>
      <c r="O265" s="3">
        <f>IF(D265=0,"",(E265-D265)/D265)</f>
        <v/>
      </c>
      <c r="P265" s="3">
        <f>IF(ISNUMBER(F265),IF(D265=0,"",(F265-D265)/D265),"")</f>
        <v/>
      </c>
      <c r="Q265" s="3">
        <f>IF(D265=0,"",(G265-D265)/D265)</f>
        <v/>
      </c>
    </row>
    <row r="266">
      <c r="A266" t="inlineStr">
        <is>
          <t>TSL/01/125gsm/2200mm</t>
        </is>
      </c>
      <c r="B266" t="inlineStr">
        <is>
          <t>SCOC</t>
        </is>
      </c>
      <c r="C266" t="inlineStr">
        <is>
          <t>2026-09</t>
        </is>
      </c>
      <c r="D266" s="2" t="n">
        <v>100.779</v>
      </c>
      <c r="E266" s="2" t="n">
        <v>90</v>
      </c>
      <c r="F266" s="2" t="n">
        <v>109</v>
      </c>
      <c r="G266" s="2" t="n">
        <v>96.85899999999999</v>
      </c>
      <c r="H266">
        <f>ISNUMBER(F266)</f>
        <v/>
      </c>
      <c r="I266" s="2">
        <f>E266-D266</f>
        <v/>
      </c>
      <c r="J266" s="2">
        <f>IF(ISNUMBER(F266),F266-D266,"")</f>
        <v/>
      </c>
      <c r="K266" s="2">
        <f>G266-D266</f>
        <v/>
      </c>
      <c r="L266" s="2">
        <f>ABS(I266)</f>
        <v/>
      </c>
      <c r="M266" s="2">
        <f>IF(ISNUMBER(F266),ABS(F266-D266),"")</f>
        <v/>
      </c>
      <c r="N266" s="2">
        <f>ABS(K266)</f>
        <v/>
      </c>
      <c r="O266" s="3">
        <f>IF(D266=0,"",(E266-D266)/D266)</f>
        <v/>
      </c>
      <c r="P266" s="3">
        <f>IF(ISNUMBER(F266),IF(D266=0,"",(F266-D266)/D266),"")</f>
        <v/>
      </c>
      <c r="Q266" s="3">
        <f>IF(D266=0,"",(G266-D266)/D266)</f>
        <v/>
      </c>
    </row>
    <row r="267">
      <c r="A267" t="inlineStr">
        <is>
          <t>TSL/01/125gsm/2300mm</t>
        </is>
      </c>
      <c r="B267" t="inlineStr">
        <is>
          <t>SCOC</t>
        </is>
      </c>
      <c r="C267" t="inlineStr">
        <is>
          <t>2026-09</t>
        </is>
      </c>
      <c r="D267" s="2" t="n">
        <v>62.452</v>
      </c>
      <c r="E267" s="2" t="n">
        <v>60</v>
      </c>
      <c r="F267" s="2" t="n">
        <v>50</v>
      </c>
      <c r="G267" s="2" t="n">
        <v>57.642</v>
      </c>
      <c r="H267">
        <f>ISNUMBER(F267)</f>
        <v/>
      </c>
      <c r="I267" s="2">
        <f>E267-D267</f>
        <v/>
      </c>
      <c r="J267" s="2">
        <f>IF(ISNUMBER(F267),F267-D267,"")</f>
        <v/>
      </c>
      <c r="K267" s="2">
        <f>G267-D267</f>
        <v/>
      </c>
      <c r="L267" s="2">
        <f>ABS(I267)</f>
        <v/>
      </c>
      <c r="M267" s="2">
        <f>IF(ISNUMBER(F267),ABS(F267-D267),"")</f>
        <v/>
      </c>
      <c r="N267" s="2">
        <f>ABS(K267)</f>
        <v/>
      </c>
      <c r="O267" s="3">
        <f>IF(D267=0,"",(E267-D267)/D267)</f>
        <v/>
      </c>
      <c r="P267" s="3">
        <f>IF(ISNUMBER(F267),IF(D267=0,"",(F267-D267)/D267),"")</f>
        <v/>
      </c>
      <c r="Q267" s="3">
        <f>IF(D267=0,"",(G267-D267)/D267)</f>
        <v/>
      </c>
    </row>
    <row r="268">
      <c r="A268" t="inlineStr">
        <is>
          <t>TSL/01/125gsm/2450mm</t>
        </is>
      </c>
      <c r="B268" t="inlineStr">
        <is>
          <t>SCOC</t>
        </is>
      </c>
      <c r="C268" t="inlineStr">
        <is>
          <t>2026-09</t>
        </is>
      </c>
      <c r="D268" s="2" t="n">
        <v>221.636</v>
      </c>
      <c r="E268" s="2" t="n">
        <v>180</v>
      </c>
      <c r="F268" s="2" t="n">
        <v>187</v>
      </c>
      <c r="G268" s="2" t="n">
        <v>186.85</v>
      </c>
      <c r="H268">
        <f>ISNUMBER(F268)</f>
        <v/>
      </c>
      <c r="I268" s="2">
        <f>E268-D268</f>
        <v/>
      </c>
      <c r="J268" s="2">
        <f>IF(ISNUMBER(F268),F268-D268,"")</f>
        <v/>
      </c>
      <c r="K268" s="2">
        <f>G268-D268</f>
        <v/>
      </c>
      <c r="L268" s="2">
        <f>ABS(I268)</f>
        <v/>
      </c>
      <c r="M268" s="2">
        <f>IF(ISNUMBER(F268),ABS(F268-D268),"")</f>
        <v/>
      </c>
      <c r="N268" s="2">
        <f>ABS(K268)</f>
        <v/>
      </c>
      <c r="O268" s="3">
        <f>IF(D268=0,"",(E268-D268)/D268)</f>
        <v/>
      </c>
      <c r="P268" s="3">
        <f>IF(ISNUMBER(F268),IF(D268=0,"",(F268-D268)/D268),"")</f>
        <v/>
      </c>
      <c r="Q268" s="3">
        <f>IF(D268=0,"",(G268-D268)/D268)</f>
        <v/>
      </c>
    </row>
    <row r="269">
      <c r="A269" t="inlineStr">
        <is>
          <t>TSL/01/125gsm/2650mm</t>
        </is>
      </c>
      <c r="B269" t="inlineStr">
        <is>
          <t>SCOC</t>
        </is>
      </c>
      <c r="C269" t="inlineStr">
        <is>
          <t>2026-09</t>
        </is>
      </c>
      <c r="D269" s="2" t="n">
        <v>99.129</v>
      </c>
      <c r="E269" s="2" t="n">
        <v>130</v>
      </c>
      <c r="F269" s="2" t="n">
        <v>130</v>
      </c>
      <c r="G269" s="2" t="n">
        <v>121.536</v>
      </c>
      <c r="H269">
        <f>ISNUMBER(F269)</f>
        <v/>
      </c>
      <c r="I269" s="2">
        <f>E269-D269</f>
        <v/>
      </c>
      <c r="J269" s="2">
        <f>IF(ISNUMBER(F269),F269-D269,"")</f>
        <v/>
      </c>
      <c r="K269" s="2">
        <f>G269-D269</f>
        <v/>
      </c>
      <c r="L269" s="2">
        <f>ABS(I269)</f>
        <v/>
      </c>
      <c r="M269" s="2">
        <f>IF(ISNUMBER(F269),ABS(F269-D269),"")</f>
        <v/>
      </c>
      <c r="N269" s="2">
        <f>ABS(K269)</f>
        <v/>
      </c>
      <c r="O269" s="3">
        <f>IF(D269=0,"",(E269-D269)/D269)</f>
        <v/>
      </c>
      <c r="P269" s="3">
        <f>IF(ISNUMBER(F269),IF(D269=0,"",(F269-D269)/D269),"")</f>
        <v/>
      </c>
      <c r="Q269" s="3">
        <f>IF(D269=0,"",(G269-D269)/D269)</f>
        <v/>
      </c>
    </row>
    <row r="270">
      <c r="A270" t="inlineStr">
        <is>
          <t>TSL/01/125gsm/2800mm</t>
        </is>
      </c>
      <c r="B270" t="inlineStr">
        <is>
          <t>SCOC</t>
        </is>
      </c>
      <c r="C270" t="inlineStr">
        <is>
          <t>2026-09</t>
        </is>
      </c>
      <c r="D270" s="2" t="n">
        <v>256.837</v>
      </c>
      <c r="E270" s="2" t="n">
        <v>190</v>
      </c>
      <c r="F270" s="2" t="n">
        <v>170</v>
      </c>
      <c r="G270" s="2" t="n">
        <v>220.531</v>
      </c>
      <c r="H270">
        <f>ISNUMBER(F270)</f>
        <v/>
      </c>
      <c r="I270" s="2">
        <f>E270-D270</f>
        <v/>
      </c>
      <c r="J270" s="2">
        <f>IF(ISNUMBER(F270),F270-D270,"")</f>
        <v/>
      </c>
      <c r="K270" s="2">
        <f>G270-D270</f>
        <v/>
      </c>
      <c r="L270" s="2">
        <f>ABS(I270)</f>
        <v/>
      </c>
      <c r="M270" s="2">
        <f>IF(ISNUMBER(F270),ABS(F270-D270),"")</f>
        <v/>
      </c>
      <c r="N270" s="2">
        <f>ABS(K270)</f>
        <v/>
      </c>
      <c r="O270" s="3">
        <f>IF(D270=0,"",(E270-D270)/D270)</f>
        <v/>
      </c>
      <c r="P270" s="3">
        <f>IF(ISNUMBER(F270),IF(D270=0,"",(F270-D270)/D270),"")</f>
        <v/>
      </c>
      <c r="Q270" s="3">
        <f>IF(D270=0,"",(G270-D270)/D270)</f>
        <v/>
      </c>
    </row>
    <row r="271">
      <c r="A271" t="inlineStr">
        <is>
          <t>TSL/01/80gsm/2200mm</t>
        </is>
      </c>
      <c r="B271" t="inlineStr">
        <is>
          <t>SCOC</t>
        </is>
      </c>
      <c r="C271" t="inlineStr">
        <is>
          <t>2026-09</t>
        </is>
      </c>
      <c r="D271" s="2" t="n">
        <v>116.834</v>
      </c>
      <c r="E271" s="2" t="n">
        <v>100</v>
      </c>
      <c r="F271" s="2" t="n">
        <v>100</v>
      </c>
      <c r="G271" s="2" t="n">
        <v>103.827</v>
      </c>
      <c r="H271">
        <f>ISNUMBER(F271)</f>
        <v/>
      </c>
      <c r="I271" s="2">
        <f>E271-D271</f>
        <v/>
      </c>
      <c r="J271" s="2">
        <f>IF(ISNUMBER(F271),F271-D271,"")</f>
        <v/>
      </c>
      <c r="K271" s="2">
        <f>G271-D271</f>
        <v/>
      </c>
      <c r="L271" s="2">
        <f>ABS(I271)</f>
        <v/>
      </c>
      <c r="M271" s="2">
        <f>IF(ISNUMBER(F271),ABS(F271-D271),"")</f>
        <v/>
      </c>
      <c r="N271" s="2">
        <f>ABS(K271)</f>
        <v/>
      </c>
      <c r="O271" s="3">
        <f>IF(D271=0,"",(E271-D271)/D271)</f>
        <v/>
      </c>
      <c r="P271" s="3">
        <f>IF(ISNUMBER(F271),IF(D271=0,"",(F271-D271)/D271),"")</f>
        <v/>
      </c>
      <c r="Q271" s="3">
        <f>IF(D271=0,"",(G271-D271)/D271)</f>
        <v/>
      </c>
    </row>
    <row r="272">
      <c r="A272" t="inlineStr">
        <is>
          <t>TSL/01/80gsm/2300mm</t>
        </is>
      </c>
      <c r="B272" t="inlineStr">
        <is>
          <t>SCOC</t>
        </is>
      </c>
      <c r="C272" t="inlineStr">
        <is>
          <t>2026-09</t>
        </is>
      </c>
      <c r="D272" s="2" t="n">
        <v>93.474</v>
      </c>
      <c r="E272" s="2" t="n">
        <v>70</v>
      </c>
      <c r="F272" s="2" t="n">
        <v>68</v>
      </c>
      <c r="G272" s="2" t="n">
        <v>66.44799999999999</v>
      </c>
      <c r="H272">
        <f>ISNUMBER(F272)</f>
        <v/>
      </c>
      <c r="I272" s="2">
        <f>E272-D272</f>
        <v/>
      </c>
      <c r="J272" s="2">
        <f>IF(ISNUMBER(F272),F272-D272,"")</f>
        <v/>
      </c>
      <c r="K272" s="2">
        <f>G272-D272</f>
        <v/>
      </c>
      <c r="L272" s="2">
        <f>ABS(I272)</f>
        <v/>
      </c>
      <c r="M272" s="2">
        <f>IF(ISNUMBER(F272),ABS(F272-D272),"")</f>
        <v/>
      </c>
      <c r="N272" s="2">
        <f>ABS(K272)</f>
        <v/>
      </c>
      <c r="O272" s="3">
        <f>IF(D272=0,"",(E272-D272)/D272)</f>
        <v/>
      </c>
      <c r="P272" s="3">
        <f>IF(ISNUMBER(F272),IF(D272=0,"",(F272-D272)/D272),"")</f>
        <v/>
      </c>
      <c r="Q272" s="3">
        <f>IF(D272=0,"",(G272-D272)/D272)</f>
        <v/>
      </c>
    </row>
    <row r="273">
      <c r="A273" t="inlineStr">
        <is>
          <t>TSL/01/80gsm/2450mm</t>
        </is>
      </c>
      <c r="B273" t="inlineStr">
        <is>
          <t>SCOC</t>
        </is>
      </c>
      <c r="C273" t="inlineStr">
        <is>
          <t>2026-09</t>
        </is>
      </c>
      <c r="D273" s="2" t="n">
        <v>215.774</v>
      </c>
      <c r="E273" s="2" t="n">
        <v>180</v>
      </c>
      <c r="F273" s="2" t="n">
        <v>175</v>
      </c>
      <c r="G273" s="2" t="n">
        <v>203.035</v>
      </c>
      <c r="H273">
        <f>ISNUMBER(F273)</f>
        <v/>
      </c>
      <c r="I273" s="2">
        <f>E273-D273</f>
        <v/>
      </c>
      <c r="J273" s="2">
        <f>IF(ISNUMBER(F273),F273-D273,"")</f>
        <v/>
      </c>
      <c r="K273" s="2">
        <f>G273-D273</f>
        <v/>
      </c>
      <c r="L273" s="2">
        <f>ABS(I273)</f>
        <v/>
      </c>
      <c r="M273" s="2">
        <f>IF(ISNUMBER(F273),ABS(F273-D273),"")</f>
        <v/>
      </c>
      <c r="N273" s="2">
        <f>ABS(K273)</f>
        <v/>
      </c>
      <c r="O273" s="3">
        <f>IF(D273=0,"",(E273-D273)/D273)</f>
        <v/>
      </c>
      <c r="P273" s="3">
        <f>IF(ISNUMBER(F273),IF(D273=0,"",(F273-D273)/D273),"")</f>
        <v/>
      </c>
      <c r="Q273" s="3">
        <f>IF(D273=0,"",(G273-D273)/D273)</f>
        <v/>
      </c>
    </row>
    <row r="274">
      <c r="A274" t="inlineStr">
        <is>
          <t>TSL/01/80gsm/2650mm</t>
        </is>
      </c>
      <c r="B274" t="inlineStr">
        <is>
          <t>SCOC</t>
        </is>
      </c>
      <c r="C274" t="inlineStr">
        <is>
          <t>2026-09</t>
        </is>
      </c>
      <c r="D274" s="2" t="n">
        <v>46.778</v>
      </c>
      <c r="E274" s="2" t="n">
        <v>70</v>
      </c>
      <c r="F274" s="2" t="n">
        <v>130</v>
      </c>
      <c r="G274" s="2" t="n">
        <v>57.25</v>
      </c>
      <c r="H274">
        <f>ISNUMBER(F274)</f>
        <v/>
      </c>
      <c r="I274" s="2">
        <f>E274-D274</f>
        <v/>
      </c>
      <c r="J274" s="2">
        <f>IF(ISNUMBER(F274),F274-D274,"")</f>
        <v/>
      </c>
      <c r="K274" s="2">
        <f>G274-D274</f>
        <v/>
      </c>
      <c r="L274" s="2">
        <f>ABS(I274)</f>
        <v/>
      </c>
      <c r="M274" s="2">
        <f>IF(ISNUMBER(F274),ABS(F274-D274),"")</f>
        <v/>
      </c>
      <c r="N274" s="2">
        <f>ABS(K274)</f>
        <v/>
      </c>
      <c r="O274" s="3">
        <f>IF(D274=0,"",(E274-D274)/D274)</f>
        <v/>
      </c>
      <c r="P274" s="3">
        <f>IF(ISNUMBER(F274),IF(D274=0,"",(F274-D274)/D274),"")</f>
        <v/>
      </c>
      <c r="Q274" s="3">
        <f>IF(D274=0,"",(G274-D274)/D274)</f>
        <v/>
      </c>
    </row>
    <row r="275">
      <c r="A275" t="inlineStr">
        <is>
          <t>TSL/01/80gsm/2800mm</t>
        </is>
      </c>
      <c r="B275" t="inlineStr">
        <is>
          <t>SCOC</t>
        </is>
      </c>
      <c r="C275" t="inlineStr">
        <is>
          <t>2026-09</t>
        </is>
      </c>
      <c r="D275" s="2" t="n">
        <v>79.834</v>
      </c>
      <c r="E275" s="2" t="n">
        <v>95</v>
      </c>
      <c r="F275" s="2" t="n">
        <v>89</v>
      </c>
      <c r="G275" s="2" t="n">
        <v>99.19</v>
      </c>
      <c r="H275">
        <f>ISNUMBER(F275)</f>
        <v/>
      </c>
      <c r="I275" s="2">
        <f>E275-D275</f>
        <v/>
      </c>
      <c r="J275" s="2">
        <f>IF(ISNUMBER(F275),F275-D275,"")</f>
        <v/>
      </c>
      <c r="K275" s="2">
        <f>G275-D275</f>
        <v/>
      </c>
      <c r="L275" s="2">
        <f>ABS(I275)</f>
        <v/>
      </c>
      <c r="M275" s="2">
        <f>IF(ISNUMBER(F275),ABS(F275-D275),"")</f>
        <v/>
      </c>
      <c r="N275" s="2">
        <f>ABS(K275)</f>
        <v/>
      </c>
      <c r="O275" s="3">
        <f>IF(D275=0,"",(E275-D275)/D275)</f>
        <v/>
      </c>
      <c r="P275" s="3">
        <f>IF(ISNUMBER(F275),IF(D275=0,"",(F275-D275)/D275),"")</f>
        <v/>
      </c>
      <c r="Q275" s="3">
        <f>IF(D275=0,"",(G275-D275)/D275)</f>
        <v/>
      </c>
    </row>
    <row r="276">
      <c r="A276" t="inlineStr">
        <is>
          <t>TWTC2/51/115gsm/2200mm</t>
        </is>
      </c>
      <c r="B276" t="inlineStr">
        <is>
          <t>SCOC</t>
        </is>
      </c>
      <c r="C276" t="inlineStr">
        <is>
          <t>2026-09</t>
        </is>
      </c>
      <c r="D276" s="2" t="n">
        <v>28.063</v>
      </c>
      <c r="E276" s="2" t="n">
        <v>35</v>
      </c>
      <c r="F276" s="2" t="n">
        <v>42</v>
      </c>
      <c r="G276" s="2" t="n">
        <v>28.985</v>
      </c>
      <c r="H276">
        <f>ISNUMBER(F276)</f>
        <v/>
      </c>
      <c r="I276" s="2">
        <f>E276-D276</f>
        <v/>
      </c>
      <c r="J276" s="2">
        <f>IF(ISNUMBER(F276),F276-D276,"")</f>
        <v/>
      </c>
      <c r="K276" s="2">
        <f>G276-D276</f>
        <v/>
      </c>
      <c r="L276" s="2">
        <f>ABS(I276)</f>
        <v/>
      </c>
      <c r="M276" s="2">
        <f>IF(ISNUMBER(F276),ABS(F276-D276),"")</f>
        <v/>
      </c>
      <c r="N276" s="2">
        <f>ABS(K276)</f>
        <v/>
      </c>
      <c r="O276" s="3">
        <f>IF(D276=0,"",(E276-D276)/D276)</f>
        <v/>
      </c>
      <c r="P276" s="3">
        <f>IF(ISNUMBER(F276),IF(D276=0,"",(F276-D276)/D276),"")</f>
        <v/>
      </c>
      <c r="Q276" s="3">
        <f>IF(D276=0,"",(G276-D276)/D276)</f>
        <v/>
      </c>
    </row>
    <row r="277">
      <c r="A277" t="inlineStr">
        <is>
          <t>TWTC2/51/115gsm/2450mm</t>
        </is>
      </c>
      <c r="B277" t="inlineStr">
        <is>
          <t>SCOC</t>
        </is>
      </c>
      <c r="C277" t="inlineStr">
        <is>
          <t>2026-09</t>
        </is>
      </c>
      <c r="D277" s="2" t="n">
        <v>40.73</v>
      </c>
      <c r="E277" s="2" t="n">
        <v>50</v>
      </c>
      <c r="F277" s="2" t="n">
        <v>62</v>
      </c>
      <c r="G277" s="2" t="n">
        <v>49.113</v>
      </c>
      <c r="H277">
        <f>ISNUMBER(F277)</f>
        <v/>
      </c>
      <c r="I277" s="2">
        <f>E277-D277</f>
        <v/>
      </c>
      <c r="J277" s="2">
        <f>IF(ISNUMBER(F277),F277-D277,"")</f>
        <v/>
      </c>
      <c r="K277" s="2">
        <f>G277-D277</f>
        <v/>
      </c>
      <c r="L277" s="2">
        <f>ABS(I277)</f>
        <v/>
      </c>
      <c r="M277" s="2">
        <f>IF(ISNUMBER(F277),ABS(F277-D277),"")</f>
        <v/>
      </c>
      <c r="N277" s="2">
        <f>ABS(K277)</f>
        <v/>
      </c>
      <c r="O277" s="3">
        <f>IF(D277=0,"",(E277-D277)/D277)</f>
        <v/>
      </c>
      <c r="P277" s="3">
        <f>IF(ISNUMBER(F277),IF(D277=0,"",(F277-D277)/D277),"")</f>
        <v/>
      </c>
      <c r="Q277" s="3">
        <f>IF(D277=0,"",(G277-D277)/D277)</f>
        <v/>
      </c>
    </row>
    <row r="278">
      <c r="A278" t="inlineStr">
        <is>
          <t>TWTC2/51/115gsm/2650mm</t>
        </is>
      </c>
      <c r="B278" t="inlineStr">
        <is>
          <t>SCOC</t>
        </is>
      </c>
      <c r="C278" t="inlineStr">
        <is>
          <t>2026-09</t>
        </is>
      </c>
      <c r="D278" s="2" t="n">
        <v>47.795</v>
      </c>
      <c r="E278" s="2" t="n">
        <v>50</v>
      </c>
      <c r="F278" s="2" t="n">
        <v>50</v>
      </c>
      <c r="G278" s="2" t="n">
        <v>47.499</v>
      </c>
      <c r="H278">
        <f>ISNUMBER(F278)</f>
        <v/>
      </c>
      <c r="I278" s="2">
        <f>E278-D278</f>
        <v/>
      </c>
      <c r="J278" s="2">
        <f>IF(ISNUMBER(F278),F278-D278,"")</f>
        <v/>
      </c>
      <c r="K278" s="2">
        <f>G278-D278</f>
        <v/>
      </c>
      <c r="L278" s="2">
        <f>ABS(I278)</f>
        <v/>
      </c>
      <c r="M278" s="2">
        <f>IF(ISNUMBER(F278),ABS(F278-D278),"")</f>
        <v/>
      </c>
      <c r="N278" s="2">
        <f>ABS(K278)</f>
        <v/>
      </c>
      <c r="O278" s="3">
        <f>IF(D278=0,"",(E278-D278)/D278)</f>
        <v/>
      </c>
      <c r="P278" s="3">
        <f>IF(ISNUMBER(F278),IF(D278=0,"",(F278-D278)/D278),"")</f>
        <v/>
      </c>
      <c r="Q278" s="3">
        <f>IF(D278=0,"",(G278-D278)/D278)</f>
        <v/>
      </c>
    </row>
    <row r="279">
      <c r="A279" t="inlineStr">
        <is>
          <t>TWTC2/51/115gsm/2800mm</t>
        </is>
      </c>
      <c r="B279" t="inlineStr">
        <is>
          <t>SCOC</t>
        </is>
      </c>
      <c r="C279" t="inlineStr">
        <is>
          <t>2026-09</t>
        </is>
      </c>
      <c r="D279" s="2" t="n">
        <v>71.004</v>
      </c>
      <c r="E279" s="2" t="n">
        <v>55</v>
      </c>
      <c r="F279" s="2" t="n">
        <v>90</v>
      </c>
      <c r="G279" s="2" t="n">
        <v>53.608</v>
      </c>
      <c r="H279">
        <f>ISNUMBER(F279)</f>
        <v/>
      </c>
      <c r="I279" s="2">
        <f>E279-D279</f>
        <v/>
      </c>
      <c r="J279" s="2">
        <f>IF(ISNUMBER(F279),F279-D279,"")</f>
        <v/>
      </c>
      <c r="K279" s="2">
        <f>G279-D279</f>
        <v/>
      </c>
      <c r="L279" s="2">
        <f>ABS(I279)</f>
        <v/>
      </c>
      <c r="M279" s="2">
        <f>IF(ISNUMBER(F279),ABS(F279-D279),"")</f>
        <v/>
      </c>
      <c r="N279" s="2">
        <f>ABS(K279)</f>
        <v/>
      </c>
      <c r="O279" s="3">
        <f>IF(D279=0,"",(E279-D279)/D279)</f>
        <v/>
      </c>
      <c r="P279" s="3">
        <f>IF(ISNUMBER(F279),IF(D279=0,"",(F279-D279)/D279),"")</f>
        <v/>
      </c>
      <c r="Q279" s="3">
        <f>IF(D279=0,"",(G279-D279)/D279)</f>
        <v/>
      </c>
    </row>
    <row r="280">
      <c r="A280" t="inlineStr">
        <is>
          <t>HP1/01/190gsm/1790mm</t>
        </is>
      </c>
      <c r="B280" t="inlineStr">
        <is>
          <t>SCVA</t>
        </is>
      </c>
      <c r="C280" t="inlineStr">
        <is>
          <t>2026-09</t>
        </is>
      </c>
      <c r="D280" s="2" t="n">
        <v>68.70999999999999</v>
      </c>
      <c r="E280" s="2" t="n">
        <v>50</v>
      </c>
      <c r="F280" s="2" t="n">
        <v>49</v>
      </c>
      <c r="G280" s="2" t="n">
        <v>46.391</v>
      </c>
      <c r="H280">
        <f>ISNUMBER(F280)</f>
        <v/>
      </c>
      <c r="I280" s="2">
        <f>E280-D280</f>
        <v/>
      </c>
      <c r="J280" s="2">
        <f>IF(ISNUMBER(F280),F280-D280,"")</f>
        <v/>
      </c>
      <c r="K280" s="2">
        <f>G280-D280</f>
        <v/>
      </c>
      <c r="L280" s="2">
        <f>ABS(I280)</f>
        <v/>
      </c>
      <c r="M280" s="2">
        <f>IF(ISNUMBER(F280),ABS(F280-D280),"")</f>
        <v/>
      </c>
      <c r="N280" s="2">
        <f>ABS(K280)</f>
        <v/>
      </c>
      <c r="O280" s="3">
        <f>IF(D280=0,"",(E280-D280)/D280)</f>
        <v/>
      </c>
      <c r="P280" s="3">
        <f>IF(ISNUMBER(F280),IF(D280=0,"",(F280-D280)/D280),"")</f>
        <v/>
      </c>
      <c r="Q280" s="3">
        <f>IF(D280=0,"",(G280-D280)/D280)</f>
        <v/>
      </c>
    </row>
    <row r="281">
      <c r="A281" t="inlineStr">
        <is>
          <t>HP1/01/190gsm/1990mm</t>
        </is>
      </c>
      <c r="B281" t="inlineStr">
        <is>
          <t>SCVA</t>
        </is>
      </c>
      <c r="C281" t="inlineStr">
        <is>
          <t>2026-09</t>
        </is>
      </c>
      <c r="D281" s="2" t="n">
        <v>44.388</v>
      </c>
      <c r="E281" s="2" t="n">
        <v>47.795</v>
      </c>
      <c r="F281" s="2" t="n">
        <v>48</v>
      </c>
      <c r="G281" s="2" t="n">
        <v>35.01</v>
      </c>
      <c r="H281">
        <f>ISNUMBER(F281)</f>
        <v/>
      </c>
      <c r="I281" s="2">
        <f>E281-D281</f>
        <v/>
      </c>
      <c r="J281" s="2">
        <f>IF(ISNUMBER(F281),F281-D281,"")</f>
        <v/>
      </c>
      <c r="K281" s="2">
        <f>G281-D281</f>
        <v/>
      </c>
      <c r="L281" s="2">
        <f>ABS(I281)</f>
        <v/>
      </c>
      <c r="M281" s="2">
        <f>IF(ISNUMBER(F281),ABS(F281-D281),"")</f>
        <v/>
      </c>
      <c r="N281" s="2">
        <f>ABS(K281)</f>
        <v/>
      </c>
      <c r="O281" s="3">
        <f>IF(D281=0,"",(E281-D281)/D281)</f>
        <v/>
      </c>
      <c r="P281" s="3">
        <f>IF(ISNUMBER(F281),IF(D281=0,"",(F281-D281)/D281),"")</f>
        <v/>
      </c>
      <c r="Q281" s="3">
        <f>IF(D281=0,"",(G281-D281)/D281)</f>
        <v/>
      </c>
    </row>
    <row r="282">
      <c r="A282" t="inlineStr">
        <is>
          <t>HP1/01/190gsm/2290mm</t>
        </is>
      </c>
      <c r="B282" t="inlineStr">
        <is>
          <t>SCVA</t>
        </is>
      </c>
      <c r="C282" t="inlineStr">
        <is>
          <t>2026-09</t>
        </is>
      </c>
      <c r="D282" s="2" t="n">
        <v>78.70999999999999</v>
      </c>
      <c r="E282" s="2" t="n">
        <v>80</v>
      </c>
      <c r="F282" s="2" t="n">
        <v>47</v>
      </c>
      <c r="G282" s="2" t="n">
        <v>67.715</v>
      </c>
      <c r="H282">
        <f>ISNUMBER(F282)</f>
        <v/>
      </c>
      <c r="I282" s="2">
        <f>E282-D282</f>
        <v/>
      </c>
      <c r="J282" s="2">
        <f>IF(ISNUMBER(F282),F282-D282,"")</f>
        <v/>
      </c>
      <c r="K282" s="2">
        <f>G282-D282</f>
        <v/>
      </c>
      <c r="L282" s="2">
        <f>ABS(I282)</f>
        <v/>
      </c>
      <c r="M282" s="2">
        <f>IF(ISNUMBER(F282),ABS(F282-D282),"")</f>
        <v/>
      </c>
      <c r="N282" s="2">
        <f>ABS(K282)</f>
        <v/>
      </c>
      <c r="O282" s="3">
        <f>IF(D282=0,"",(E282-D282)/D282)</f>
        <v/>
      </c>
      <c r="P282" s="3">
        <f>IF(ISNUMBER(F282),IF(D282=0,"",(F282-D282)/D282),"")</f>
        <v/>
      </c>
      <c r="Q282" s="3">
        <f>IF(D282=0,"",(G282-D282)/D282)</f>
        <v/>
      </c>
    </row>
    <row r="283">
      <c r="A283" t="inlineStr">
        <is>
          <t>HP1/01/190gsm/2440mm</t>
        </is>
      </c>
      <c r="B283" t="inlineStr">
        <is>
          <t>SCVA</t>
        </is>
      </c>
      <c r="C283" t="inlineStr">
        <is>
          <t>2026-09</t>
        </is>
      </c>
      <c r="D283" s="2" t="n">
        <v>55.586</v>
      </c>
      <c r="E283" s="2" t="n">
        <v>50</v>
      </c>
      <c r="F283" s="2" t="n">
        <v>49</v>
      </c>
      <c r="G283" s="2" t="n">
        <v>45.102</v>
      </c>
      <c r="H283">
        <f>ISNUMBER(F283)</f>
        <v/>
      </c>
      <c r="I283" s="2">
        <f>E283-D283</f>
        <v/>
      </c>
      <c r="J283" s="2">
        <f>IF(ISNUMBER(F283),F283-D283,"")</f>
        <v/>
      </c>
      <c r="K283" s="2">
        <f>G283-D283</f>
        <v/>
      </c>
      <c r="L283" s="2">
        <f>ABS(I283)</f>
        <v/>
      </c>
      <c r="M283" s="2">
        <f>IF(ISNUMBER(F283),ABS(F283-D283),"")</f>
        <v/>
      </c>
      <c r="N283" s="2">
        <f>ABS(K283)</f>
        <v/>
      </c>
      <c r="O283" s="3">
        <f>IF(D283=0,"",(E283-D283)/D283)</f>
        <v/>
      </c>
      <c r="P283" s="3">
        <f>IF(ISNUMBER(F283),IF(D283=0,"",(F283-D283)/D283),"")</f>
        <v/>
      </c>
      <c r="Q283" s="3">
        <f>IF(D283=0,"",(G283-D283)/D283)</f>
        <v/>
      </c>
    </row>
    <row r="284">
      <c r="A284" t="inlineStr">
        <is>
          <t>HP2/01/105gsm/2290mm</t>
        </is>
      </c>
      <c r="B284" t="inlineStr">
        <is>
          <t>SCVA</t>
        </is>
      </c>
      <c r="C284" t="inlineStr">
        <is>
          <t>2026-09</t>
        </is>
      </c>
      <c r="D284" s="2" t="n">
        <v>18.218</v>
      </c>
      <c r="E284" s="2" t="n">
        <v>30</v>
      </c>
      <c r="F284" s="2" t="n">
        <v>35</v>
      </c>
      <c r="G284" s="2" t="n">
        <v>19.091</v>
      </c>
      <c r="H284">
        <f>ISNUMBER(F284)</f>
        <v/>
      </c>
      <c r="I284" s="2">
        <f>E284-D284</f>
        <v/>
      </c>
      <c r="J284" s="2">
        <f>IF(ISNUMBER(F284),F284-D284,"")</f>
        <v/>
      </c>
      <c r="K284" s="2">
        <f>G284-D284</f>
        <v/>
      </c>
      <c r="L284" s="2">
        <f>ABS(I284)</f>
        <v/>
      </c>
      <c r="M284" s="2">
        <f>IF(ISNUMBER(F284),ABS(F284-D284),"")</f>
        <v/>
      </c>
      <c r="N284" s="2">
        <f>ABS(K284)</f>
        <v/>
      </c>
      <c r="O284" s="3">
        <f>IF(D284=0,"",(E284-D284)/D284)</f>
        <v/>
      </c>
      <c r="P284" s="3">
        <f>IF(ISNUMBER(F284),IF(D284=0,"",(F284-D284)/D284),"")</f>
        <v/>
      </c>
      <c r="Q284" s="3">
        <f>IF(D284=0,"",(G284-D284)/D284)</f>
        <v/>
      </c>
    </row>
    <row r="285">
      <c r="A285" t="inlineStr">
        <is>
          <t>HP2/01/105gsm/2440mm</t>
        </is>
      </c>
      <c r="B285" t="inlineStr">
        <is>
          <t>SCVA</t>
        </is>
      </c>
      <c r="C285" t="inlineStr">
        <is>
          <t>2026-09</t>
        </is>
      </c>
      <c r="D285" s="2" t="n">
        <v>8.800000000000001</v>
      </c>
      <c r="E285" s="2" t="n">
        <v>30</v>
      </c>
      <c r="F285" s="2" t="n">
        <v>43</v>
      </c>
      <c r="G285" s="2" t="n">
        <v>17.657</v>
      </c>
      <c r="H285">
        <f>ISNUMBER(F285)</f>
        <v/>
      </c>
      <c r="I285" s="2">
        <f>E285-D285</f>
        <v/>
      </c>
      <c r="J285" s="2">
        <f>IF(ISNUMBER(F285),F285-D285,"")</f>
        <v/>
      </c>
      <c r="K285" s="2">
        <f>G285-D285</f>
        <v/>
      </c>
      <c r="L285" s="2">
        <f>ABS(I285)</f>
        <v/>
      </c>
      <c r="M285" s="2">
        <f>IF(ISNUMBER(F285),ABS(F285-D285),"")</f>
        <v/>
      </c>
      <c r="N285" s="2">
        <f>ABS(K285)</f>
        <v/>
      </c>
      <c r="O285" s="3">
        <f>IF(D285=0,"",(E285-D285)/D285)</f>
        <v/>
      </c>
      <c r="P285" s="3">
        <f>IF(ISNUMBER(F285),IF(D285=0,"",(F285-D285)/D285),"")</f>
        <v/>
      </c>
      <c r="Q285" s="3">
        <f>IF(D285=0,"",(G285-D285)/D285)</f>
        <v/>
      </c>
    </row>
    <row r="286">
      <c r="A286" t="inlineStr">
        <is>
          <t>HP2/01/115gsm/2290mm</t>
        </is>
      </c>
      <c r="B286" t="inlineStr">
        <is>
          <t>SCVA</t>
        </is>
      </c>
      <c r="C286" t="inlineStr">
        <is>
          <t>2026-09</t>
        </is>
      </c>
      <c r="D286" s="2" t="n">
        <v>36.919</v>
      </c>
      <c r="E286" s="2" t="n">
        <v>45</v>
      </c>
      <c r="F286" s="2" t="n">
        <v>45</v>
      </c>
      <c r="G286" s="2" t="n">
        <v>36.218</v>
      </c>
      <c r="H286">
        <f>ISNUMBER(F286)</f>
        <v/>
      </c>
      <c r="I286" s="2">
        <f>E286-D286</f>
        <v/>
      </c>
      <c r="J286" s="2">
        <f>IF(ISNUMBER(F286),F286-D286,"")</f>
        <v/>
      </c>
      <c r="K286" s="2">
        <f>G286-D286</f>
        <v/>
      </c>
      <c r="L286" s="2">
        <f>ABS(I286)</f>
        <v/>
      </c>
      <c r="M286" s="2">
        <f>IF(ISNUMBER(F286),ABS(F286-D286),"")</f>
        <v/>
      </c>
      <c r="N286" s="2">
        <f>ABS(K286)</f>
        <v/>
      </c>
      <c r="O286" s="3">
        <f>IF(D286=0,"",(E286-D286)/D286)</f>
        <v/>
      </c>
      <c r="P286" s="3">
        <f>IF(ISNUMBER(F286),IF(D286=0,"",(F286-D286)/D286),"")</f>
        <v/>
      </c>
      <c r="Q286" s="3">
        <f>IF(D286=0,"",(G286-D286)/D286)</f>
        <v/>
      </c>
    </row>
    <row r="287">
      <c r="A287" t="inlineStr">
        <is>
          <t>HP2/01/115gsm/2440mm</t>
        </is>
      </c>
      <c r="B287" t="inlineStr">
        <is>
          <t>SCVA</t>
        </is>
      </c>
      <c r="C287" t="inlineStr">
        <is>
          <t>2026-09</t>
        </is>
      </c>
      <c r="D287" s="2" t="n">
        <v>44.727</v>
      </c>
      <c r="E287" s="2" t="n">
        <v>43.559</v>
      </c>
      <c r="F287" s="2" t="n">
        <v>56</v>
      </c>
      <c r="G287" s="2" t="n">
        <v>32.379</v>
      </c>
      <c r="H287">
        <f>ISNUMBER(F287)</f>
        <v/>
      </c>
      <c r="I287" s="2">
        <f>E287-D287</f>
        <v/>
      </c>
      <c r="J287" s="2">
        <f>IF(ISNUMBER(F287),F287-D287,"")</f>
        <v/>
      </c>
      <c r="K287" s="2">
        <f>G287-D287</f>
        <v/>
      </c>
      <c r="L287" s="2">
        <f>ABS(I287)</f>
        <v/>
      </c>
      <c r="M287" s="2">
        <f>IF(ISNUMBER(F287),ABS(F287-D287),"")</f>
        <v/>
      </c>
      <c r="N287" s="2">
        <f>ABS(K287)</f>
        <v/>
      </c>
      <c r="O287" s="3">
        <f>IF(D287=0,"",(E287-D287)/D287)</f>
        <v/>
      </c>
      <c r="P287" s="3">
        <f>IF(ISNUMBER(F287),IF(D287=0,"",(F287-D287)/D287),"")</f>
        <v/>
      </c>
      <c r="Q287" s="3">
        <f>IF(D287=0,"",(G287-D287)/D287)</f>
        <v/>
      </c>
    </row>
    <row r="288">
      <c r="A288" t="inlineStr">
        <is>
          <t>HP2/01/125gsm/1790mm</t>
        </is>
      </c>
      <c r="B288" t="inlineStr">
        <is>
          <t>SCVA</t>
        </is>
      </c>
      <c r="C288" t="inlineStr">
        <is>
          <t>2026-09</t>
        </is>
      </c>
      <c r="D288" s="2" t="n">
        <v>95.164</v>
      </c>
      <c r="E288" s="2" t="n">
        <v>80</v>
      </c>
      <c r="F288" s="2" t="n">
        <v>48</v>
      </c>
      <c r="G288" s="2" t="n">
        <v>73.193</v>
      </c>
      <c r="H288">
        <f>ISNUMBER(F288)</f>
        <v/>
      </c>
      <c r="I288" s="2">
        <f>E288-D288</f>
        <v/>
      </c>
      <c r="J288" s="2">
        <f>IF(ISNUMBER(F288),F288-D288,"")</f>
        <v/>
      </c>
      <c r="K288" s="2">
        <f>G288-D288</f>
        <v/>
      </c>
      <c r="L288" s="2">
        <f>ABS(I288)</f>
        <v/>
      </c>
      <c r="M288" s="2">
        <f>IF(ISNUMBER(F288),ABS(F288-D288),"")</f>
        <v/>
      </c>
      <c r="N288" s="2">
        <f>ABS(K288)</f>
        <v/>
      </c>
      <c r="O288" s="3">
        <f>IF(D288=0,"",(E288-D288)/D288)</f>
        <v/>
      </c>
      <c r="P288" s="3">
        <f>IF(ISNUMBER(F288),IF(D288=0,"",(F288-D288)/D288),"")</f>
        <v/>
      </c>
      <c r="Q288" s="3">
        <f>IF(D288=0,"",(G288-D288)/D288)</f>
        <v/>
      </c>
    </row>
    <row r="289">
      <c r="A289" t="inlineStr">
        <is>
          <t>HP2/01/125gsm/1990mm</t>
        </is>
      </c>
      <c r="B289" t="inlineStr">
        <is>
          <t>SCVA</t>
        </is>
      </c>
      <c r="C289" t="inlineStr">
        <is>
          <t>2026-09</t>
        </is>
      </c>
      <c r="D289" s="2" t="n">
        <v>33.969</v>
      </c>
      <c r="E289" s="2" t="n">
        <v>48.33</v>
      </c>
      <c r="F289" s="2" t="n">
        <v>50</v>
      </c>
      <c r="G289" s="2" t="n">
        <v>43.932</v>
      </c>
      <c r="H289">
        <f>ISNUMBER(F289)</f>
        <v/>
      </c>
      <c r="I289" s="2">
        <f>E289-D289</f>
        <v/>
      </c>
      <c r="J289" s="2">
        <f>IF(ISNUMBER(F289),F289-D289,"")</f>
        <v/>
      </c>
      <c r="K289" s="2">
        <f>G289-D289</f>
        <v/>
      </c>
      <c r="L289" s="2">
        <f>ABS(I289)</f>
        <v/>
      </c>
      <c r="M289" s="2">
        <f>IF(ISNUMBER(F289),ABS(F289-D289),"")</f>
        <v/>
      </c>
      <c r="N289" s="2">
        <f>ABS(K289)</f>
        <v/>
      </c>
      <c r="O289" s="3">
        <f>IF(D289=0,"",(E289-D289)/D289)</f>
        <v/>
      </c>
      <c r="P289" s="3">
        <f>IF(ISNUMBER(F289),IF(D289=0,"",(F289-D289)/D289),"")</f>
        <v/>
      </c>
      <c r="Q289" s="3">
        <f>IF(D289=0,"",(G289-D289)/D289)</f>
        <v/>
      </c>
    </row>
    <row r="290">
      <c r="A290" t="inlineStr">
        <is>
          <t>HP2/01/125gsm/2290mm</t>
        </is>
      </c>
      <c r="B290" t="inlineStr">
        <is>
          <t>SCVA</t>
        </is>
      </c>
      <c r="C290" t="inlineStr">
        <is>
          <t>2026-09</t>
        </is>
      </c>
      <c r="D290" s="2" t="n">
        <v>100.938</v>
      </c>
      <c r="E290" s="2" t="n">
        <v>135</v>
      </c>
      <c r="F290" s="2" t="n">
        <v>168</v>
      </c>
      <c r="G290" s="2" t="n">
        <v>121.08</v>
      </c>
      <c r="H290">
        <f>ISNUMBER(F290)</f>
        <v/>
      </c>
      <c r="I290" s="2">
        <f>E290-D290</f>
        <v/>
      </c>
      <c r="J290" s="2">
        <f>IF(ISNUMBER(F290),F290-D290,"")</f>
        <v/>
      </c>
      <c r="K290" s="2">
        <f>G290-D290</f>
        <v/>
      </c>
      <c r="L290" s="2">
        <f>ABS(I290)</f>
        <v/>
      </c>
      <c r="M290" s="2">
        <f>IF(ISNUMBER(F290),ABS(F290-D290),"")</f>
        <v/>
      </c>
      <c r="N290" s="2">
        <f>ABS(K290)</f>
        <v/>
      </c>
      <c r="O290" s="3">
        <f>IF(D290=0,"",(E290-D290)/D290)</f>
        <v/>
      </c>
      <c r="P290" s="3">
        <f>IF(ISNUMBER(F290),IF(D290=0,"",(F290-D290)/D290),"")</f>
        <v/>
      </c>
      <c r="Q290" s="3">
        <f>IF(D290=0,"",(G290-D290)/D290)</f>
        <v/>
      </c>
    </row>
    <row r="291">
      <c r="A291" t="inlineStr">
        <is>
          <t>HP2/01/125gsm/2440mm</t>
        </is>
      </c>
      <c r="B291" t="inlineStr">
        <is>
          <t>SCVA</t>
        </is>
      </c>
      <c r="C291" t="inlineStr">
        <is>
          <t>2026-09</t>
        </is>
      </c>
      <c r="D291" s="2" t="n">
        <v>209.943</v>
      </c>
      <c r="E291" s="2" t="n">
        <v>310</v>
      </c>
      <c r="F291" s="2" t="n">
        <v>265</v>
      </c>
      <c r="G291" s="2" t="n">
        <v>151.662</v>
      </c>
      <c r="H291">
        <f>ISNUMBER(F291)</f>
        <v/>
      </c>
      <c r="I291" s="2">
        <f>E291-D291</f>
        <v/>
      </c>
      <c r="J291" s="2">
        <f>IF(ISNUMBER(F291),F291-D291,"")</f>
        <v/>
      </c>
      <c r="K291" s="2">
        <f>G291-D291</f>
        <v/>
      </c>
      <c r="L291" s="2">
        <f>ABS(I291)</f>
        <v/>
      </c>
      <c r="M291" s="2">
        <f>IF(ISNUMBER(F291),ABS(F291-D291),"")</f>
        <v/>
      </c>
      <c r="N291" s="2">
        <f>ABS(K291)</f>
        <v/>
      </c>
      <c r="O291" s="3">
        <f>IF(D291=0,"",(E291-D291)/D291)</f>
        <v/>
      </c>
      <c r="P291" s="3">
        <f>IF(ISNUMBER(F291),IF(D291=0,"",(F291-D291)/D291),"")</f>
        <v/>
      </c>
      <c r="Q291" s="3">
        <f>IF(D291=0,"",(G291-D291)/D291)</f>
        <v/>
      </c>
    </row>
    <row r="292">
      <c r="A292" t="inlineStr">
        <is>
          <t>HP2/01/155gsm/1790mm</t>
        </is>
      </c>
      <c r="B292" t="inlineStr">
        <is>
          <t>SCVA</t>
        </is>
      </c>
      <c r="C292" t="inlineStr">
        <is>
          <t>2026-09</t>
        </is>
      </c>
      <c r="D292" s="2" t="n">
        <v>63.302</v>
      </c>
      <c r="E292" s="2" t="n">
        <v>60</v>
      </c>
      <c r="F292" s="2" t="n">
        <v>60</v>
      </c>
      <c r="G292" s="2" t="n">
        <v>63.547</v>
      </c>
      <c r="H292">
        <f>ISNUMBER(F292)</f>
        <v/>
      </c>
      <c r="I292" s="2">
        <f>E292-D292</f>
        <v/>
      </c>
      <c r="J292" s="2">
        <f>IF(ISNUMBER(F292),F292-D292,"")</f>
        <v/>
      </c>
      <c r="K292" s="2">
        <f>G292-D292</f>
        <v/>
      </c>
      <c r="L292" s="2">
        <f>ABS(I292)</f>
        <v/>
      </c>
      <c r="M292" s="2">
        <f>IF(ISNUMBER(F292),ABS(F292-D292),"")</f>
        <v/>
      </c>
      <c r="N292" s="2">
        <f>ABS(K292)</f>
        <v/>
      </c>
      <c r="O292" s="3">
        <f>IF(D292=0,"",(E292-D292)/D292)</f>
        <v/>
      </c>
      <c r="P292" s="3">
        <f>IF(ISNUMBER(F292),IF(D292=0,"",(F292-D292)/D292),"")</f>
        <v/>
      </c>
      <c r="Q292" s="3">
        <f>IF(D292=0,"",(G292-D292)/D292)</f>
        <v/>
      </c>
    </row>
    <row r="293">
      <c r="A293" t="inlineStr">
        <is>
          <t>HP2/01/155gsm/1990mm</t>
        </is>
      </c>
      <c r="B293" t="inlineStr">
        <is>
          <t>SCVA</t>
        </is>
      </c>
      <c r="C293" t="inlineStr">
        <is>
          <t>2026-09</t>
        </is>
      </c>
      <c r="D293" s="2" t="n">
        <v>76.88</v>
      </c>
      <c r="E293" s="2" t="n">
        <v>60</v>
      </c>
      <c r="F293" s="2" t="n">
        <v>62</v>
      </c>
      <c r="G293" s="2" t="n">
        <v>64.01600000000001</v>
      </c>
      <c r="H293">
        <f>ISNUMBER(F293)</f>
        <v/>
      </c>
      <c r="I293" s="2">
        <f>E293-D293</f>
        <v/>
      </c>
      <c r="J293" s="2">
        <f>IF(ISNUMBER(F293),F293-D293,"")</f>
        <v/>
      </c>
      <c r="K293" s="2">
        <f>G293-D293</f>
        <v/>
      </c>
      <c r="L293" s="2">
        <f>ABS(I293)</f>
        <v/>
      </c>
      <c r="M293" s="2">
        <f>IF(ISNUMBER(F293),ABS(F293-D293),"")</f>
        <v/>
      </c>
      <c r="N293" s="2">
        <f>ABS(K293)</f>
        <v/>
      </c>
      <c r="O293" s="3">
        <f>IF(D293=0,"",(E293-D293)/D293)</f>
        <v/>
      </c>
      <c r="P293" s="3">
        <f>IF(ISNUMBER(F293),IF(D293=0,"",(F293-D293)/D293),"")</f>
        <v/>
      </c>
      <c r="Q293" s="3">
        <f>IF(D293=0,"",(G293-D293)/D293)</f>
        <v/>
      </c>
    </row>
    <row r="294">
      <c r="A294" t="inlineStr">
        <is>
          <t>HP2/01/155gsm/2290mm</t>
        </is>
      </c>
      <c r="B294" t="inlineStr">
        <is>
          <t>SCVA</t>
        </is>
      </c>
      <c r="C294" t="inlineStr">
        <is>
          <t>2026-09</t>
        </is>
      </c>
      <c r="D294" s="2" t="n">
        <v>130.121</v>
      </c>
      <c r="E294" s="2" t="n">
        <v>140</v>
      </c>
      <c r="F294" s="2" t="n">
        <v>138</v>
      </c>
      <c r="G294" s="2" t="n">
        <v>136.579</v>
      </c>
      <c r="H294">
        <f>ISNUMBER(F294)</f>
        <v/>
      </c>
      <c r="I294" s="2">
        <f>E294-D294</f>
        <v/>
      </c>
      <c r="J294" s="2">
        <f>IF(ISNUMBER(F294),F294-D294,"")</f>
        <v/>
      </c>
      <c r="K294" s="2">
        <f>G294-D294</f>
        <v/>
      </c>
      <c r="L294" s="2">
        <f>ABS(I294)</f>
        <v/>
      </c>
      <c r="M294" s="2">
        <f>IF(ISNUMBER(F294),ABS(F294-D294),"")</f>
        <v/>
      </c>
      <c r="N294" s="2">
        <f>ABS(K294)</f>
        <v/>
      </c>
      <c r="O294" s="3">
        <f>IF(D294=0,"",(E294-D294)/D294)</f>
        <v/>
      </c>
      <c r="P294" s="3">
        <f>IF(ISNUMBER(F294),IF(D294=0,"",(F294-D294)/D294),"")</f>
        <v/>
      </c>
      <c r="Q294" s="3">
        <f>IF(D294=0,"",(G294-D294)/D294)</f>
        <v/>
      </c>
    </row>
    <row r="295">
      <c r="A295" t="inlineStr">
        <is>
          <t>HP2/01/155gsm/2440mm</t>
        </is>
      </c>
      <c r="B295" t="inlineStr">
        <is>
          <t>SCVA</t>
        </is>
      </c>
      <c r="C295" t="inlineStr">
        <is>
          <t>2026-09</t>
        </is>
      </c>
      <c r="D295" s="2" t="n">
        <v>167.354</v>
      </c>
      <c r="E295" s="2" t="n">
        <v>143.633</v>
      </c>
      <c r="F295" s="2" t="n">
        <v>144</v>
      </c>
      <c r="G295" s="2" t="n">
        <v>92.97</v>
      </c>
      <c r="H295">
        <f>ISNUMBER(F295)</f>
        <v/>
      </c>
      <c r="I295" s="2">
        <f>E295-D295</f>
        <v/>
      </c>
      <c r="J295" s="2">
        <f>IF(ISNUMBER(F295),F295-D295,"")</f>
        <v/>
      </c>
      <c r="K295" s="2">
        <f>G295-D295</f>
        <v/>
      </c>
      <c r="L295" s="2">
        <f>ABS(I295)</f>
        <v/>
      </c>
      <c r="M295" s="2">
        <f>IF(ISNUMBER(F295),ABS(F295-D295),"")</f>
        <v/>
      </c>
      <c r="N295" s="2">
        <f>ABS(K295)</f>
        <v/>
      </c>
      <c r="O295" s="3">
        <f>IF(D295=0,"",(E295-D295)/D295)</f>
        <v/>
      </c>
      <c r="P295" s="3">
        <f>IF(ISNUMBER(F295),IF(D295=0,"",(F295-D295)/D295),"")</f>
        <v/>
      </c>
      <c r="Q295" s="3">
        <f>IF(D295=0,"",(G295-D295)/D295)</f>
        <v/>
      </c>
    </row>
    <row r="296">
      <c r="A296" t="inlineStr">
        <is>
          <t>K/01/160gsm/1800mm</t>
        </is>
      </c>
      <c r="B296" t="inlineStr">
        <is>
          <t>SCVA</t>
        </is>
      </c>
      <c r="C296" t="inlineStr">
        <is>
          <t>2026-09</t>
        </is>
      </c>
      <c r="D296" s="2" t="n">
        <v>52.72</v>
      </c>
      <c r="E296" s="2" t="n">
        <v>55</v>
      </c>
      <c r="F296" s="2" t="n">
        <v>37</v>
      </c>
      <c r="G296" s="2" t="n">
        <v>43.316</v>
      </c>
      <c r="H296">
        <f>ISNUMBER(F296)</f>
        <v/>
      </c>
      <c r="I296" s="2">
        <f>E296-D296</f>
        <v/>
      </c>
      <c r="J296" s="2">
        <f>IF(ISNUMBER(F296),F296-D296,"")</f>
        <v/>
      </c>
      <c r="K296" s="2">
        <f>G296-D296</f>
        <v/>
      </c>
      <c r="L296" s="2">
        <f>ABS(I296)</f>
        <v/>
      </c>
      <c r="M296" s="2">
        <f>IF(ISNUMBER(F296),ABS(F296-D296),"")</f>
        <v/>
      </c>
      <c r="N296" s="2">
        <f>ABS(K296)</f>
        <v/>
      </c>
      <c r="O296" s="3">
        <f>IF(D296=0,"",(E296-D296)/D296)</f>
        <v/>
      </c>
      <c r="P296" s="3">
        <f>IF(ISNUMBER(F296),IF(D296=0,"",(F296-D296)/D296),"")</f>
        <v/>
      </c>
      <c r="Q296" s="3">
        <f>IF(D296=0,"",(G296-D296)/D296)</f>
        <v/>
      </c>
    </row>
    <row r="297">
      <c r="A297" t="inlineStr">
        <is>
          <t>K/01/160gsm/2300mm</t>
        </is>
      </c>
      <c r="B297" t="inlineStr">
        <is>
          <t>SCVA</t>
        </is>
      </c>
      <c r="C297" t="inlineStr">
        <is>
          <t>2026-09</t>
        </is>
      </c>
      <c r="D297" s="2" t="n">
        <v>67.95999999999999</v>
      </c>
      <c r="E297" s="2" t="n">
        <v>52.525</v>
      </c>
      <c r="F297" s="2" t="n">
        <v>39</v>
      </c>
      <c r="G297" s="2" t="n">
        <v>42.703</v>
      </c>
      <c r="H297">
        <f>ISNUMBER(F297)</f>
        <v/>
      </c>
      <c r="I297" s="2">
        <f>E297-D297</f>
        <v/>
      </c>
      <c r="J297" s="2">
        <f>IF(ISNUMBER(F297),F297-D297,"")</f>
        <v/>
      </c>
      <c r="K297" s="2">
        <f>G297-D297</f>
        <v/>
      </c>
      <c r="L297" s="2">
        <f>ABS(I297)</f>
        <v/>
      </c>
      <c r="M297" s="2">
        <f>IF(ISNUMBER(F297),ABS(F297-D297),"")</f>
        <v/>
      </c>
      <c r="N297" s="2">
        <f>ABS(K297)</f>
        <v/>
      </c>
      <c r="O297" s="3">
        <f>IF(D297=0,"",(E297-D297)/D297)</f>
        <v/>
      </c>
      <c r="P297" s="3">
        <f>IF(ISNUMBER(F297),IF(D297=0,"",(F297-D297)/D297),"")</f>
        <v/>
      </c>
      <c r="Q297" s="3">
        <f>IF(D297=0,"",(G297-D297)/D297)</f>
        <v/>
      </c>
    </row>
    <row r="298">
      <c r="A298" t="inlineStr">
        <is>
          <t>K/01/160gsm/2450mm</t>
        </is>
      </c>
      <c r="B298" t="inlineStr">
        <is>
          <t>SCVA</t>
        </is>
      </c>
      <c r="C298" t="inlineStr">
        <is>
          <t>2026-09</t>
        </is>
      </c>
      <c r="D298" s="2" t="n">
        <v>102.925</v>
      </c>
      <c r="E298" s="2" t="n">
        <v>70</v>
      </c>
      <c r="F298" s="2" t="n">
        <v>72</v>
      </c>
      <c r="G298" s="2" t="n">
        <v>60.008</v>
      </c>
      <c r="H298">
        <f>ISNUMBER(F298)</f>
        <v/>
      </c>
      <c r="I298" s="2">
        <f>E298-D298</f>
        <v/>
      </c>
      <c r="J298" s="2">
        <f>IF(ISNUMBER(F298),F298-D298,"")</f>
        <v/>
      </c>
      <c r="K298" s="2">
        <f>G298-D298</f>
        <v/>
      </c>
      <c r="L298" s="2">
        <f>ABS(I298)</f>
        <v/>
      </c>
      <c r="M298" s="2">
        <f>IF(ISNUMBER(F298),ABS(F298-D298),"")</f>
        <v/>
      </c>
      <c r="N298" s="2">
        <f>ABS(K298)</f>
        <v/>
      </c>
      <c r="O298" s="3">
        <f>IF(D298=0,"",(E298-D298)/D298)</f>
        <v/>
      </c>
      <c r="P298" s="3">
        <f>IF(ISNUMBER(F298),IF(D298=0,"",(F298-D298)/D298),"")</f>
        <v/>
      </c>
      <c r="Q298" s="3">
        <f>IF(D298=0,"",(G298-D298)/D298)</f>
        <v/>
      </c>
    </row>
    <row r="299">
      <c r="A299" t="inlineStr">
        <is>
          <t>K/01/225gsm/1800mm</t>
        </is>
      </c>
      <c r="B299" t="inlineStr">
        <is>
          <t>SCVA</t>
        </is>
      </c>
      <c r="C299" t="inlineStr">
        <is>
          <t>2026-09</t>
        </is>
      </c>
      <c r="D299" s="2" t="n">
        <v>52.504</v>
      </c>
      <c r="E299" s="2" t="n">
        <v>55</v>
      </c>
      <c r="F299" s="2" t="n">
        <v>31</v>
      </c>
      <c r="G299" s="2" t="n">
        <v>45.055</v>
      </c>
      <c r="H299">
        <f>ISNUMBER(F299)</f>
        <v/>
      </c>
      <c r="I299" s="2">
        <f>E299-D299</f>
        <v/>
      </c>
      <c r="J299" s="2">
        <f>IF(ISNUMBER(F299),F299-D299,"")</f>
        <v/>
      </c>
      <c r="K299" s="2">
        <f>G299-D299</f>
        <v/>
      </c>
      <c r="L299" s="2">
        <f>ABS(I299)</f>
        <v/>
      </c>
      <c r="M299" s="2">
        <f>IF(ISNUMBER(F299),ABS(F299-D299),"")</f>
        <v/>
      </c>
      <c r="N299" s="2">
        <f>ABS(K299)</f>
        <v/>
      </c>
      <c r="O299" s="3">
        <f>IF(D299=0,"",(E299-D299)/D299)</f>
        <v/>
      </c>
      <c r="P299" s="3">
        <f>IF(ISNUMBER(F299),IF(D299=0,"",(F299-D299)/D299),"")</f>
        <v/>
      </c>
      <c r="Q299" s="3">
        <f>IF(D299=0,"",(G299-D299)/D299)</f>
        <v/>
      </c>
    </row>
    <row r="300">
      <c r="A300" t="inlineStr">
        <is>
          <t>K/01/225gsm/2300mm</t>
        </is>
      </c>
      <c r="B300" t="inlineStr">
        <is>
          <t>SCVA</t>
        </is>
      </c>
      <c r="C300" t="inlineStr">
        <is>
          <t>2026-09</t>
        </is>
      </c>
      <c r="D300" s="2" t="n">
        <v>43.25</v>
      </c>
      <c r="E300" s="2" t="n">
        <v>30</v>
      </c>
      <c r="F300" s="2" t="n">
        <v>27</v>
      </c>
      <c r="G300" s="2" t="n">
        <v>37.662</v>
      </c>
      <c r="H300">
        <f>ISNUMBER(F300)</f>
        <v/>
      </c>
      <c r="I300" s="2">
        <f>E300-D300</f>
        <v/>
      </c>
      <c r="J300" s="2">
        <f>IF(ISNUMBER(F300),F300-D300,"")</f>
        <v/>
      </c>
      <c r="K300" s="2">
        <f>G300-D300</f>
        <v/>
      </c>
      <c r="L300" s="2">
        <f>ABS(I300)</f>
        <v/>
      </c>
      <c r="M300" s="2">
        <f>IF(ISNUMBER(F300),ABS(F300-D300),"")</f>
        <v/>
      </c>
      <c r="N300" s="2">
        <f>ABS(K300)</f>
        <v/>
      </c>
      <c r="O300" s="3">
        <f>IF(D300=0,"",(E300-D300)/D300)</f>
        <v/>
      </c>
      <c r="P300" s="3">
        <f>IF(ISNUMBER(F300),IF(D300=0,"",(F300-D300)/D300),"")</f>
        <v/>
      </c>
      <c r="Q300" s="3">
        <f>IF(D300=0,"",(G300-D300)/D300)</f>
        <v/>
      </c>
    </row>
    <row r="301">
      <c r="A301" t="inlineStr">
        <is>
          <t>K/01/225gsm/2450mm</t>
        </is>
      </c>
      <c r="B301" t="inlineStr">
        <is>
          <t>SCVA</t>
        </is>
      </c>
      <c r="C301" t="inlineStr">
        <is>
          <t>2026-09</t>
        </is>
      </c>
      <c r="D301" s="2" t="n">
        <v>54.17</v>
      </c>
      <c r="E301" s="2" t="n">
        <v>60</v>
      </c>
      <c r="F301" s="2" t="n">
        <v>64</v>
      </c>
      <c r="G301" s="2" t="n">
        <v>37.288</v>
      </c>
      <c r="H301">
        <f>ISNUMBER(F301)</f>
        <v/>
      </c>
      <c r="I301" s="2">
        <f>E301-D301</f>
        <v/>
      </c>
      <c r="J301" s="2">
        <f>IF(ISNUMBER(F301),F301-D301,"")</f>
        <v/>
      </c>
      <c r="K301" s="2">
        <f>G301-D301</f>
        <v/>
      </c>
      <c r="L301" s="2">
        <f>ABS(I301)</f>
        <v/>
      </c>
      <c r="M301" s="2">
        <f>IF(ISNUMBER(F301),ABS(F301-D301),"")</f>
        <v/>
      </c>
      <c r="N301" s="2">
        <f>ABS(K301)</f>
        <v/>
      </c>
      <c r="O301" s="3">
        <f>IF(D301=0,"",(E301-D301)/D301)</f>
        <v/>
      </c>
      <c r="P301" s="3">
        <f>IF(ISNUMBER(F301),IF(D301=0,"",(F301-D301)/D301),"")</f>
        <v/>
      </c>
      <c r="Q301" s="3">
        <f>IF(D301=0,"",(G301-D301)/D301)</f>
        <v/>
      </c>
    </row>
    <row r="302">
      <c r="A302" t="inlineStr">
        <is>
          <t>K/01/275gsm/1800mm</t>
        </is>
      </c>
      <c r="B302" t="inlineStr">
        <is>
          <t>SCVA</t>
        </is>
      </c>
      <c r="C302" t="inlineStr">
        <is>
          <t>2026-09</t>
        </is>
      </c>
      <c r="D302" s="2" t="n">
        <v>32.85</v>
      </c>
      <c r="E302" s="2" t="n">
        <v>20</v>
      </c>
      <c r="F302" s="2" t="n">
        <v>23</v>
      </c>
      <c r="G302" s="2" t="n">
        <v>10.883</v>
      </c>
      <c r="H302">
        <f>ISNUMBER(F302)</f>
        <v/>
      </c>
      <c r="I302" s="2">
        <f>E302-D302</f>
        <v/>
      </c>
      <c r="J302" s="2">
        <f>IF(ISNUMBER(F302),F302-D302,"")</f>
        <v/>
      </c>
      <c r="K302" s="2">
        <f>G302-D302</f>
        <v/>
      </c>
      <c r="L302" s="2">
        <f>ABS(I302)</f>
        <v/>
      </c>
      <c r="M302" s="2">
        <f>IF(ISNUMBER(F302),ABS(F302-D302),"")</f>
        <v/>
      </c>
      <c r="N302" s="2">
        <f>ABS(K302)</f>
        <v/>
      </c>
      <c r="O302" s="3">
        <f>IF(D302=0,"",(E302-D302)/D302)</f>
        <v/>
      </c>
      <c r="P302" s="3">
        <f>IF(ISNUMBER(F302),IF(D302=0,"",(F302-D302)/D302),"")</f>
        <v/>
      </c>
      <c r="Q302" s="3">
        <f>IF(D302=0,"",(G302-D302)/D302)</f>
        <v/>
      </c>
    </row>
    <row r="303">
      <c r="A303" t="inlineStr">
        <is>
          <t>K/01/275gsm/2300mm</t>
        </is>
      </c>
      <c r="B303" t="inlineStr">
        <is>
          <t>SCVA</t>
        </is>
      </c>
      <c r="C303" t="inlineStr">
        <is>
          <t>2026-09</t>
        </is>
      </c>
      <c r="D303" s="2" t="n">
        <v>31.25</v>
      </c>
      <c r="E303" s="2" t="n">
        <v>30</v>
      </c>
      <c r="F303" s="2" t="n">
        <v>29</v>
      </c>
      <c r="G303" s="2" t="n">
        <v>33.973</v>
      </c>
      <c r="H303">
        <f>ISNUMBER(F303)</f>
        <v/>
      </c>
      <c r="I303" s="2">
        <f>E303-D303</f>
        <v/>
      </c>
      <c r="J303" s="2">
        <f>IF(ISNUMBER(F303),F303-D303,"")</f>
        <v/>
      </c>
      <c r="K303" s="2">
        <f>G303-D303</f>
        <v/>
      </c>
      <c r="L303" s="2">
        <f>ABS(I303)</f>
        <v/>
      </c>
      <c r="M303" s="2">
        <f>IF(ISNUMBER(F303),ABS(F303-D303),"")</f>
        <v/>
      </c>
      <c r="N303" s="2">
        <f>ABS(K303)</f>
        <v/>
      </c>
      <c r="O303" s="3">
        <f>IF(D303=0,"",(E303-D303)/D303)</f>
        <v/>
      </c>
      <c r="P303" s="3">
        <f>IF(ISNUMBER(F303),IF(D303=0,"",(F303-D303)/D303),"")</f>
        <v/>
      </c>
      <c r="Q303" s="3">
        <f>IF(D303=0,"",(G303-D303)/D303)</f>
        <v/>
      </c>
    </row>
    <row r="304">
      <c r="A304" t="inlineStr">
        <is>
          <t>K/01/275gsm/2450mm</t>
        </is>
      </c>
      <c r="B304" t="inlineStr">
        <is>
          <t>SCVA</t>
        </is>
      </c>
      <c r="C304" t="inlineStr">
        <is>
          <t>2026-09</t>
        </is>
      </c>
      <c r="D304" s="2" t="n">
        <v>68.7</v>
      </c>
      <c r="E304" s="2" t="n">
        <v>57.338</v>
      </c>
      <c r="F304" s="2" t="n">
        <v>66</v>
      </c>
      <c r="G304" s="2" t="n">
        <v>48.698</v>
      </c>
      <c r="H304">
        <f>ISNUMBER(F304)</f>
        <v/>
      </c>
      <c r="I304" s="2">
        <f>E304-D304</f>
        <v/>
      </c>
      <c r="J304" s="2">
        <f>IF(ISNUMBER(F304),F304-D304,"")</f>
        <v/>
      </c>
      <c r="K304" s="2">
        <f>G304-D304</f>
        <v/>
      </c>
      <c r="L304" s="2">
        <f>ABS(I304)</f>
        <v/>
      </c>
      <c r="M304" s="2">
        <f>IF(ISNUMBER(F304),ABS(F304-D304),"")</f>
        <v/>
      </c>
      <c r="N304" s="2">
        <f>ABS(K304)</f>
        <v/>
      </c>
      <c r="O304" s="3">
        <f>IF(D304=0,"",(E304-D304)/D304)</f>
        <v/>
      </c>
      <c r="P304" s="3">
        <f>IF(ISNUMBER(F304),IF(D304=0,"",(F304-D304)/D304),"")</f>
        <v/>
      </c>
      <c r="Q304" s="3">
        <f>IF(D304=0,"",(G304-D304)/D304)</f>
        <v/>
      </c>
    </row>
    <row r="305">
      <c r="A305" t="inlineStr">
        <is>
          <t>K/01/400gsm/2000mm</t>
        </is>
      </c>
      <c r="B305" t="inlineStr">
        <is>
          <t>SCVA</t>
        </is>
      </c>
      <c r="C305" t="inlineStr">
        <is>
          <t>2026-09</t>
        </is>
      </c>
      <c r="D305" s="2" t="n">
        <v>31.678</v>
      </c>
      <c r="E305" s="2" t="n">
        <v>30.479</v>
      </c>
      <c r="F305" s="2" t="n">
        <v>41</v>
      </c>
      <c r="G305" s="2" t="n">
        <v>13.385</v>
      </c>
      <c r="H305">
        <f>ISNUMBER(F305)</f>
        <v/>
      </c>
      <c r="I305" s="2">
        <f>E305-D305</f>
        <v/>
      </c>
      <c r="J305" s="2">
        <f>IF(ISNUMBER(F305),F305-D305,"")</f>
        <v/>
      </c>
      <c r="K305" s="2">
        <f>G305-D305</f>
        <v/>
      </c>
      <c r="L305" s="2">
        <f>ABS(I305)</f>
        <v/>
      </c>
      <c r="M305" s="2">
        <f>IF(ISNUMBER(F305),ABS(F305-D305),"")</f>
        <v/>
      </c>
      <c r="N305" s="2">
        <f>ABS(K305)</f>
        <v/>
      </c>
      <c r="O305" s="3">
        <f>IF(D305=0,"",(E305-D305)/D305)</f>
        <v/>
      </c>
      <c r="P305" s="3">
        <f>IF(ISNUMBER(F305),IF(D305=0,"",(F305-D305)/D305),"")</f>
        <v/>
      </c>
      <c r="Q305" s="3">
        <f>IF(D305=0,"",(G305-D305)/D305)</f>
        <v/>
      </c>
    </row>
    <row r="306">
      <c r="A306" t="inlineStr">
        <is>
          <t>K/01/400gsm/2300mm</t>
        </is>
      </c>
      <c r="B306" t="inlineStr">
        <is>
          <t>SCVA</t>
        </is>
      </c>
      <c r="C306" t="inlineStr">
        <is>
          <t>2026-09</t>
        </is>
      </c>
      <c r="D306" s="2" t="n">
        <v>47.158</v>
      </c>
      <c r="E306" s="2" t="n">
        <v>50</v>
      </c>
      <c r="F306" s="2" t="n">
        <v>168</v>
      </c>
      <c r="G306" s="2" t="n">
        <v>43.879</v>
      </c>
      <c r="H306">
        <f>ISNUMBER(F306)</f>
        <v/>
      </c>
      <c r="I306" s="2">
        <f>E306-D306</f>
        <v/>
      </c>
      <c r="J306" s="2">
        <f>IF(ISNUMBER(F306),F306-D306,"")</f>
        <v/>
      </c>
      <c r="K306" s="2">
        <f>G306-D306</f>
        <v/>
      </c>
      <c r="L306" s="2">
        <f>ABS(I306)</f>
        <v/>
      </c>
      <c r="M306" s="2">
        <f>IF(ISNUMBER(F306),ABS(F306-D306),"")</f>
        <v/>
      </c>
      <c r="N306" s="2">
        <f>ABS(K306)</f>
        <v/>
      </c>
      <c r="O306" s="3">
        <f>IF(D306=0,"",(E306-D306)/D306)</f>
        <v/>
      </c>
      <c r="P306" s="3">
        <f>IF(ISNUMBER(F306),IF(D306=0,"",(F306-D306)/D306),"")</f>
        <v/>
      </c>
      <c r="Q306" s="3">
        <f>IF(D306=0,"",(G306-D306)/D306)</f>
        <v/>
      </c>
    </row>
    <row r="307">
      <c r="A307" t="inlineStr">
        <is>
          <t>K/01/400gsm/2450mm</t>
        </is>
      </c>
      <c r="B307" t="inlineStr">
        <is>
          <t>SCVA</t>
        </is>
      </c>
      <c r="C307" t="inlineStr">
        <is>
          <t>2026-09</t>
        </is>
      </c>
      <c r="D307" s="2" t="n">
        <v>29.239</v>
      </c>
      <c r="E307" s="2" t="n">
        <v>50</v>
      </c>
      <c r="F307" s="2" t="n">
        <v>87</v>
      </c>
      <c r="G307" s="2" t="n">
        <v>24.073</v>
      </c>
      <c r="H307">
        <f>ISNUMBER(F307)</f>
        <v/>
      </c>
      <c r="I307" s="2">
        <f>E307-D307</f>
        <v/>
      </c>
      <c r="J307" s="2">
        <f>IF(ISNUMBER(F307),F307-D307,"")</f>
        <v/>
      </c>
      <c r="K307" s="2">
        <f>G307-D307</f>
        <v/>
      </c>
      <c r="L307" s="2">
        <f>ABS(I307)</f>
        <v/>
      </c>
      <c r="M307" s="2">
        <f>IF(ISNUMBER(F307),ABS(F307-D307),"")</f>
        <v/>
      </c>
      <c r="N307" s="2">
        <f>ABS(K307)</f>
        <v/>
      </c>
      <c r="O307" s="3">
        <f>IF(D307=0,"",(E307-D307)/D307)</f>
        <v/>
      </c>
      <c r="P307" s="3">
        <f>IF(ISNUMBER(F307),IF(D307=0,"",(F307-D307)/D307),"")</f>
        <v/>
      </c>
      <c r="Q307" s="3">
        <f>IF(D307=0,"",(G307-D307)/D307)</f>
        <v/>
      </c>
    </row>
    <row r="308">
      <c r="A308" t="inlineStr">
        <is>
          <t>K/01/430gsm/1800mm</t>
        </is>
      </c>
      <c r="B308" t="inlineStr">
        <is>
          <t>SCVA</t>
        </is>
      </c>
      <c r="C308" t="inlineStr">
        <is>
          <t>2026-09</t>
        </is>
      </c>
      <c r="D308" s="2" t="n">
        <v>69.48</v>
      </c>
      <c r="E308" s="2" t="n">
        <v>65</v>
      </c>
      <c r="F308" s="2" t="n">
        <v>40</v>
      </c>
      <c r="G308" s="2" t="n">
        <v>62.965</v>
      </c>
      <c r="H308">
        <f>ISNUMBER(F308)</f>
        <v/>
      </c>
      <c r="I308" s="2">
        <f>E308-D308</f>
        <v/>
      </c>
      <c r="J308" s="2">
        <f>IF(ISNUMBER(F308),F308-D308,"")</f>
        <v/>
      </c>
      <c r="K308" s="2">
        <f>G308-D308</f>
        <v/>
      </c>
      <c r="L308" s="2">
        <f>ABS(I308)</f>
        <v/>
      </c>
      <c r="M308" s="2">
        <f>IF(ISNUMBER(F308),ABS(F308-D308),"")</f>
        <v/>
      </c>
      <c r="N308" s="2">
        <f>ABS(K308)</f>
        <v/>
      </c>
      <c r="O308" s="3">
        <f>IF(D308=0,"",(E308-D308)/D308)</f>
        <v/>
      </c>
      <c r="P308" s="3">
        <f>IF(ISNUMBER(F308),IF(D308=0,"",(F308-D308)/D308),"")</f>
        <v/>
      </c>
      <c r="Q308" s="3">
        <f>IF(D308=0,"",(G308-D308)/D308)</f>
        <v/>
      </c>
    </row>
    <row r="309">
      <c r="A309" t="inlineStr">
        <is>
          <t>K/01/430gsm/2000mm</t>
        </is>
      </c>
      <c r="B309" t="inlineStr">
        <is>
          <t>SCVA</t>
        </is>
      </c>
      <c r="C309" t="inlineStr">
        <is>
          <t>2026-09</t>
        </is>
      </c>
      <c r="D309" s="2" t="n">
        <v>16.365</v>
      </c>
      <c r="E309" s="2" t="n">
        <v>38.541</v>
      </c>
      <c r="F309" s="2" t="n">
        <v>40</v>
      </c>
      <c r="G309" s="2" t="n">
        <v>28.964</v>
      </c>
      <c r="H309">
        <f>ISNUMBER(F309)</f>
        <v/>
      </c>
      <c r="I309" s="2">
        <f>E309-D309</f>
        <v/>
      </c>
      <c r="J309" s="2">
        <f>IF(ISNUMBER(F309),F309-D309,"")</f>
        <v/>
      </c>
      <c r="K309" s="2">
        <f>G309-D309</f>
        <v/>
      </c>
      <c r="L309" s="2">
        <f>ABS(I309)</f>
        <v/>
      </c>
      <c r="M309" s="2">
        <f>IF(ISNUMBER(F309),ABS(F309-D309),"")</f>
        <v/>
      </c>
      <c r="N309" s="2">
        <f>ABS(K309)</f>
        <v/>
      </c>
      <c r="O309" s="3">
        <f>IF(D309=0,"",(E309-D309)/D309)</f>
        <v/>
      </c>
      <c r="P309" s="3">
        <f>IF(ISNUMBER(F309),IF(D309=0,"",(F309-D309)/D309),"")</f>
        <v/>
      </c>
      <c r="Q309" s="3">
        <f>IF(D309=0,"",(G309-D309)/D309)</f>
        <v/>
      </c>
    </row>
    <row r="310">
      <c r="A310" t="inlineStr">
        <is>
          <t>K/01/430gsm/2450mm</t>
        </is>
      </c>
      <c r="B310" t="inlineStr">
        <is>
          <t>SCVA</t>
        </is>
      </c>
      <c r="C310" t="inlineStr">
        <is>
          <t>2026-09</t>
        </is>
      </c>
      <c r="D310" s="2" t="n">
        <v>37.87</v>
      </c>
      <c r="E310" s="2" t="n">
        <v>40</v>
      </c>
      <c r="F310" s="2" t="n">
        <v>19</v>
      </c>
      <c r="G310" s="2" t="n">
        <v>28.906</v>
      </c>
      <c r="H310">
        <f>ISNUMBER(F310)</f>
        <v/>
      </c>
      <c r="I310" s="2">
        <f>E310-D310</f>
        <v/>
      </c>
      <c r="J310" s="2">
        <f>IF(ISNUMBER(F310),F310-D310,"")</f>
        <v/>
      </c>
      <c r="K310" s="2">
        <f>G310-D310</f>
        <v/>
      </c>
      <c r="L310" s="2">
        <f>ABS(I310)</f>
        <v/>
      </c>
      <c r="M310" s="2">
        <f>IF(ISNUMBER(F310),ABS(F310-D310),"")</f>
        <v/>
      </c>
      <c r="N310" s="2">
        <f>ABS(K310)</f>
        <v/>
      </c>
      <c r="O310" s="3">
        <f>IF(D310=0,"",(E310-D310)/D310)</f>
        <v/>
      </c>
      <c r="P310" s="3">
        <f>IF(ISNUMBER(F310),IF(D310=0,"",(F310-D310)/D310),"")</f>
        <v/>
      </c>
      <c r="Q310" s="3">
        <f>IF(D310=0,"",(G310-D310)/D310)</f>
        <v/>
      </c>
    </row>
    <row r="311">
      <c r="A311" t="inlineStr">
        <is>
          <t>RF1/01/100gsm/2290mm</t>
        </is>
      </c>
      <c r="B311" t="inlineStr">
        <is>
          <t>SCVA</t>
        </is>
      </c>
      <c r="C311" t="inlineStr">
        <is>
          <t>2026-09</t>
        </is>
      </c>
      <c r="D311" s="2" t="n">
        <v>56.11</v>
      </c>
      <c r="E311" s="2" t="n">
        <v>65</v>
      </c>
      <c r="F311" s="2" t="n">
        <v>78</v>
      </c>
      <c r="G311" s="2" t="n">
        <v>61.162</v>
      </c>
      <c r="H311">
        <f>ISNUMBER(F311)</f>
        <v/>
      </c>
      <c r="I311" s="2">
        <f>E311-D311</f>
        <v/>
      </c>
      <c r="J311" s="2">
        <f>IF(ISNUMBER(F311),F311-D311,"")</f>
        <v/>
      </c>
      <c r="K311" s="2">
        <f>G311-D311</f>
        <v/>
      </c>
      <c r="L311" s="2">
        <f>ABS(I311)</f>
        <v/>
      </c>
      <c r="M311" s="2">
        <f>IF(ISNUMBER(F311),ABS(F311-D311),"")</f>
        <v/>
      </c>
      <c r="N311" s="2">
        <f>ABS(K311)</f>
        <v/>
      </c>
      <c r="O311" s="3">
        <f>IF(D311=0,"",(E311-D311)/D311)</f>
        <v/>
      </c>
      <c r="P311" s="3">
        <f>IF(ISNUMBER(F311),IF(D311=0,"",(F311-D311)/D311),"")</f>
        <v/>
      </c>
      <c r="Q311" s="3">
        <f>IF(D311=0,"",(G311-D311)/D311)</f>
        <v/>
      </c>
    </row>
    <row r="312">
      <c r="A312" t="inlineStr">
        <is>
          <t>RF1/01/100gsm/2440mm</t>
        </is>
      </c>
      <c r="B312" t="inlineStr">
        <is>
          <t>SCVA</t>
        </is>
      </c>
      <c r="C312" t="inlineStr">
        <is>
          <t>2026-09</t>
        </is>
      </c>
      <c r="D312" s="2" t="n">
        <v>85.05200000000001</v>
      </c>
      <c r="E312" s="2" t="n">
        <v>80</v>
      </c>
      <c r="F312" s="2" t="n">
        <v>111</v>
      </c>
      <c r="G312" s="2" t="n">
        <v>71.395</v>
      </c>
      <c r="H312">
        <f>ISNUMBER(F312)</f>
        <v/>
      </c>
      <c r="I312" s="2">
        <f>E312-D312</f>
        <v/>
      </c>
      <c r="J312" s="2">
        <f>IF(ISNUMBER(F312),F312-D312,"")</f>
        <v/>
      </c>
      <c r="K312" s="2">
        <f>G312-D312</f>
        <v/>
      </c>
      <c r="L312" s="2">
        <f>ABS(I312)</f>
        <v/>
      </c>
      <c r="M312" s="2">
        <f>IF(ISNUMBER(F312),ABS(F312-D312),"")</f>
        <v/>
      </c>
      <c r="N312" s="2">
        <f>ABS(K312)</f>
        <v/>
      </c>
      <c r="O312" s="3">
        <f>IF(D312=0,"",(E312-D312)/D312)</f>
        <v/>
      </c>
      <c r="P312" s="3">
        <f>IF(ISNUMBER(F312),IF(D312=0,"",(F312-D312)/D312),"")</f>
        <v/>
      </c>
      <c r="Q312" s="3">
        <f>IF(D312=0,"",(G312-D312)/D312)</f>
        <v/>
      </c>
    </row>
    <row r="313">
      <c r="A313" t="inlineStr">
        <is>
          <t>RF1/01/80gsm/2090mm</t>
        </is>
      </c>
      <c r="B313" t="inlineStr">
        <is>
          <t>SCVA</t>
        </is>
      </c>
      <c r="C313" t="inlineStr">
        <is>
          <t>2026-09</t>
        </is>
      </c>
      <c r="D313" s="2" t="n">
        <v>130.562</v>
      </c>
      <c r="E313" s="2" t="n">
        <v>120</v>
      </c>
      <c r="F313" s="2" t="n">
        <v>29</v>
      </c>
      <c r="G313" s="2" t="n">
        <v>163.089</v>
      </c>
      <c r="H313">
        <f>ISNUMBER(F313)</f>
        <v/>
      </c>
      <c r="I313" s="2">
        <f>E313-D313</f>
        <v/>
      </c>
      <c r="J313" s="2">
        <f>IF(ISNUMBER(F313),F313-D313,"")</f>
        <v/>
      </c>
      <c r="K313" s="2">
        <f>G313-D313</f>
        <v/>
      </c>
      <c r="L313" s="2">
        <f>ABS(I313)</f>
        <v/>
      </c>
      <c r="M313" s="2">
        <f>IF(ISNUMBER(F313),ABS(F313-D313),"")</f>
        <v/>
      </c>
      <c r="N313" s="2">
        <f>ABS(K313)</f>
        <v/>
      </c>
      <c r="O313" s="3">
        <f>IF(D313=0,"",(E313-D313)/D313)</f>
        <v/>
      </c>
      <c r="P313" s="3">
        <f>IF(ISNUMBER(F313),IF(D313=0,"",(F313-D313)/D313),"")</f>
        <v/>
      </c>
      <c r="Q313" s="3">
        <f>IF(D313=0,"",(G313-D313)/D313)</f>
        <v/>
      </c>
    </row>
    <row r="314">
      <c r="A314" t="inlineStr">
        <is>
          <t>RF1/01/80gsm/2290mm</t>
        </is>
      </c>
      <c r="B314" t="inlineStr">
        <is>
          <t>SCVA</t>
        </is>
      </c>
      <c r="C314" t="inlineStr">
        <is>
          <t>2026-09</t>
        </is>
      </c>
      <c r="D314" s="2" t="n">
        <v>30.118</v>
      </c>
      <c r="E314" s="2" t="n">
        <v>60.752</v>
      </c>
      <c r="F314" s="2" t="n">
        <v>72</v>
      </c>
      <c r="G314" s="2" t="n">
        <v>54.132</v>
      </c>
      <c r="H314">
        <f>ISNUMBER(F314)</f>
        <v/>
      </c>
      <c r="I314" s="2">
        <f>E314-D314</f>
        <v/>
      </c>
      <c r="J314" s="2">
        <f>IF(ISNUMBER(F314),F314-D314,"")</f>
        <v/>
      </c>
      <c r="K314" s="2">
        <f>G314-D314</f>
        <v/>
      </c>
      <c r="L314" s="2">
        <f>ABS(I314)</f>
        <v/>
      </c>
      <c r="M314" s="2">
        <f>IF(ISNUMBER(F314),ABS(F314-D314),"")</f>
        <v/>
      </c>
      <c r="N314" s="2">
        <f>ABS(K314)</f>
        <v/>
      </c>
      <c r="O314" s="3">
        <f>IF(D314=0,"",(E314-D314)/D314)</f>
        <v/>
      </c>
      <c r="P314" s="3">
        <f>IF(ISNUMBER(F314),IF(D314=0,"",(F314-D314)/D314),"")</f>
        <v/>
      </c>
      <c r="Q314" s="3">
        <f>IF(D314=0,"",(G314-D314)/D314)</f>
        <v/>
      </c>
    </row>
    <row r="315">
      <c r="A315" t="inlineStr">
        <is>
          <t>RF1/01/80gsm/2440mm</t>
        </is>
      </c>
      <c r="B315" t="inlineStr">
        <is>
          <t>SCVA</t>
        </is>
      </c>
      <c r="C315" t="inlineStr">
        <is>
          <t>2026-09</t>
        </is>
      </c>
      <c r="D315" s="2" t="n">
        <v>55.714</v>
      </c>
      <c r="E315" s="2" t="n">
        <v>65</v>
      </c>
      <c r="F315" s="2" t="n">
        <v>84</v>
      </c>
      <c r="G315" s="2" t="n">
        <v>52.773</v>
      </c>
      <c r="H315">
        <f>ISNUMBER(F315)</f>
        <v/>
      </c>
      <c r="I315" s="2">
        <f>E315-D315</f>
        <v/>
      </c>
      <c r="J315" s="2">
        <f>IF(ISNUMBER(F315),F315-D315,"")</f>
        <v/>
      </c>
      <c r="K315" s="2">
        <f>G315-D315</f>
        <v/>
      </c>
      <c r="L315" s="2">
        <f>ABS(I315)</f>
        <v/>
      </c>
      <c r="M315" s="2">
        <f>IF(ISNUMBER(F315),ABS(F315-D315),"")</f>
        <v/>
      </c>
      <c r="N315" s="2">
        <f>ABS(K315)</f>
        <v/>
      </c>
      <c r="O315" s="3">
        <f>IF(D315=0,"",(E315-D315)/D315)</f>
        <v/>
      </c>
      <c r="P315" s="3">
        <f>IF(ISNUMBER(F315),IF(D315=0,"",(F315-D315)/D315),"")</f>
        <v/>
      </c>
      <c r="Q315" s="3">
        <f>IF(D315=0,"",(G315-D315)/D315)</f>
        <v/>
      </c>
    </row>
    <row r="316">
      <c r="A316" t="inlineStr">
        <is>
          <t>TSL/01/110gsm/2300mm</t>
        </is>
      </c>
      <c r="B316" t="inlineStr">
        <is>
          <t>SCVA</t>
        </is>
      </c>
      <c r="C316" t="inlineStr">
        <is>
          <t>2026-09</t>
        </is>
      </c>
      <c r="D316" s="2" t="n">
        <v>10.406</v>
      </c>
      <c r="E316" s="2" t="n">
        <v>30</v>
      </c>
      <c r="F316" s="2" t="n">
        <v>41</v>
      </c>
      <c r="G316" s="2" t="n">
        <v>21.204</v>
      </c>
      <c r="H316">
        <f>ISNUMBER(F316)</f>
        <v/>
      </c>
      <c r="I316" s="2">
        <f>E316-D316</f>
        <v/>
      </c>
      <c r="J316" s="2">
        <f>IF(ISNUMBER(F316),F316-D316,"")</f>
        <v/>
      </c>
      <c r="K316" s="2">
        <f>G316-D316</f>
        <v/>
      </c>
      <c r="L316" s="2">
        <f>ABS(I316)</f>
        <v/>
      </c>
      <c r="M316" s="2">
        <f>IF(ISNUMBER(F316),ABS(F316-D316),"")</f>
        <v/>
      </c>
      <c r="N316" s="2">
        <f>ABS(K316)</f>
        <v/>
      </c>
      <c r="O316" s="3">
        <f>IF(D316=0,"",(E316-D316)/D316)</f>
        <v/>
      </c>
      <c r="P316" s="3">
        <f>IF(ISNUMBER(F316),IF(D316=0,"",(F316-D316)/D316),"")</f>
        <v/>
      </c>
      <c r="Q316" s="3">
        <f>IF(D316=0,"",(G316-D316)/D316)</f>
        <v/>
      </c>
    </row>
    <row r="317">
      <c r="A317" t="inlineStr">
        <is>
          <t>TSL/01/110gsm/2450mm</t>
        </is>
      </c>
      <c r="B317" t="inlineStr">
        <is>
          <t>SCVA</t>
        </is>
      </c>
      <c r="C317" t="inlineStr">
        <is>
          <t>2026-09</t>
        </is>
      </c>
      <c r="D317" s="2" t="n">
        <v>20.53</v>
      </c>
      <c r="E317" s="2" t="n">
        <v>30</v>
      </c>
      <c r="F317" s="2" t="n">
        <v>28</v>
      </c>
      <c r="G317" s="2" t="n">
        <v>21.038</v>
      </c>
      <c r="H317">
        <f>ISNUMBER(F317)</f>
        <v/>
      </c>
      <c r="I317" s="2">
        <f>E317-D317</f>
        <v/>
      </c>
      <c r="J317" s="2">
        <f>IF(ISNUMBER(F317),F317-D317,"")</f>
        <v/>
      </c>
      <c r="K317" s="2">
        <f>G317-D317</f>
        <v/>
      </c>
      <c r="L317" s="2">
        <f>ABS(I317)</f>
        <v/>
      </c>
      <c r="M317" s="2">
        <f>IF(ISNUMBER(F317),ABS(F317-D317),"")</f>
        <v/>
      </c>
      <c r="N317" s="2">
        <f>ABS(K317)</f>
        <v/>
      </c>
      <c r="O317" s="3">
        <f>IF(D317=0,"",(E317-D317)/D317)</f>
        <v/>
      </c>
      <c r="P317" s="3">
        <f>IF(ISNUMBER(F317),IF(D317=0,"",(F317-D317)/D317),"")</f>
        <v/>
      </c>
      <c r="Q317" s="3">
        <f>IF(D317=0,"",(G317-D317)/D317)</f>
        <v/>
      </c>
    </row>
    <row r="318">
      <c r="A318" t="inlineStr">
        <is>
          <t>TSL/01/125gsm/2000mm</t>
        </is>
      </c>
      <c r="B318" t="inlineStr">
        <is>
          <t>SCVA</t>
        </is>
      </c>
      <c r="C318" t="inlineStr">
        <is>
          <t>2026-09</t>
        </is>
      </c>
      <c r="D318" s="2" t="n">
        <v>26.093</v>
      </c>
      <c r="E318" s="2" t="n">
        <v>33.482</v>
      </c>
      <c r="F318" s="2" t="n">
        <v>32</v>
      </c>
      <c r="G318" s="2" t="n">
        <v>33.09</v>
      </c>
      <c r="H318">
        <f>ISNUMBER(F318)</f>
        <v/>
      </c>
      <c r="I318" s="2">
        <f>E318-D318</f>
        <v/>
      </c>
      <c r="J318" s="2">
        <f>IF(ISNUMBER(F318),F318-D318,"")</f>
        <v/>
      </c>
      <c r="K318" s="2">
        <f>G318-D318</f>
        <v/>
      </c>
      <c r="L318" s="2">
        <f>ABS(I318)</f>
        <v/>
      </c>
      <c r="M318" s="2">
        <f>IF(ISNUMBER(F318),ABS(F318-D318),"")</f>
        <v/>
      </c>
      <c r="N318" s="2">
        <f>ABS(K318)</f>
        <v/>
      </c>
      <c r="O318" s="3">
        <f>IF(D318=0,"",(E318-D318)/D318)</f>
        <v/>
      </c>
      <c r="P318" s="3">
        <f>IF(ISNUMBER(F318),IF(D318=0,"",(F318-D318)/D318),"")</f>
        <v/>
      </c>
      <c r="Q318" s="3">
        <f>IF(D318=0,"",(G318-D318)/D318)</f>
        <v/>
      </c>
    </row>
    <row r="319">
      <c r="A319" t="inlineStr">
        <is>
          <t>TSL/01/125gsm/2100mm</t>
        </is>
      </c>
      <c r="B319" t="inlineStr">
        <is>
          <t>SCVA</t>
        </is>
      </c>
      <c r="C319" t="inlineStr">
        <is>
          <t>2026-09</t>
        </is>
      </c>
      <c r="D319" s="2" t="n">
        <v>106.336</v>
      </c>
      <c r="E319" s="2" t="n">
        <v>100</v>
      </c>
      <c r="F319" s="2" t="n">
        <v>24</v>
      </c>
      <c r="G319" s="2" t="n">
        <v>139.59</v>
      </c>
      <c r="H319">
        <f>ISNUMBER(F319)</f>
        <v/>
      </c>
      <c r="I319" s="2">
        <f>E319-D319</f>
        <v/>
      </c>
      <c r="J319" s="2">
        <f>IF(ISNUMBER(F319),F319-D319,"")</f>
        <v/>
      </c>
      <c r="K319" s="2">
        <f>G319-D319</f>
        <v/>
      </c>
      <c r="L319" s="2">
        <f>ABS(I319)</f>
        <v/>
      </c>
      <c r="M319" s="2">
        <f>IF(ISNUMBER(F319),ABS(F319-D319),"")</f>
        <v/>
      </c>
      <c r="N319" s="2">
        <f>ABS(K319)</f>
        <v/>
      </c>
      <c r="O319" s="3">
        <f>IF(D319=0,"",(E319-D319)/D319)</f>
        <v/>
      </c>
      <c r="P319" s="3">
        <f>IF(ISNUMBER(F319),IF(D319=0,"",(F319-D319)/D319),"")</f>
        <v/>
      </c>
      <c r="Q319" s="3">
        <f>IF(D319=0,"",(G319-D319)/D319)</f>
        <v/>
      </c>
    </row>
    <row r="320">
      <c r="A320" t="inlineStr">
        <is>
          <t>TSL/01/125gsm/2300mm</t>
        </is>
      </c>
      <c r="B320" t="inlineStr">
        <is>
          <t>SCVA</t>
        </is>
      </c>
      <c r="C320" t="inlineStr">
        <is>
          <t>2026-09</t>
        </is>
      </c>
      <c r="D320" s="2" t="n">
        <v>97.76600000000001</v>
      </c>
      <c r="E320" s="2" t="n">
        <v>120.352</v>
      </c>
      <c r="F320" s="2" t="n">
        <v>127</v>
      </c>
      <c r="G320" s="2" t="n">
        <v>103.575</v>
      </c>
      <c r="H320">
        <f>ISNUMBER(F320)</f>
        <v/>
      </c>
      <c r="I320" s="2">
        <f>E320-D320</f>
        <v/>
      </c>
      <c r="J320" s="2">
        <f>IF(ISNUMBER(F320),F320-D320,"")</f>
        <v/>
      </c>
      <c r="K320" s="2">
        <f>G320-D320</f>
        <v/>
      </c>
      <c r="L320" s="2">
        <f>ABS(I320)</f>
        <v/>
      </c>
      <c r="M320" s="2">
        <f>IF(ISNUMBER(F320),ABS(F320-D320),"")</f>
        <v/>
      </c>
      <c r="N320" s="2">
        <f>ABS(K320)</f>
        <v/>
      </c>
      <c r="O320" s="3">
        <f>IF(D320=0,"",(E320-D320)/D320)</f>
        <v/>
      </c>
      <c r="P320" s="3">
        <f>IF(ISNUMBER(F320),IF(D320=0,"",(F320-D320)/D320),"")</f>
        <v/>
      </c>
      <c r="Q320" s="3">
        <f>IF(D320=0,"",(G320-D320)/D320)</f>
        <v/>
      </c>
    </row>
    <row r="321">
      <c r="A321" t="inlineStr">
        <is>
          <t>TSL/01/125gsm/2450mm</t>
        </is>
      </c>
      <c r="B321" t="inlineStr">
        <is>
          <t>SCVA</t>
        </is>
      </c>
      <c r="C321" t="inlineStr">
        <is>
          <t>2026-09</t>
        </is>
      </c>
      <c r="D321" s="2" t="n">
        <v>171.229</v>
      </c>
      <c r="E321" s="2" t="n">
        <v>156.178</v>
      </c>
      <c r="F321" s="2" t="n">
        <v>186</v>
      </c>
      <c r="G321" s="2" t="n">
        <v>122.705</v>
      </c>
      <c r="H321">
        <f>ISNUMBER(F321)</f>
        <v/>
      </c>
      <c r="I321" s="2">
        <f>E321-D321</f>
        <v/>
      </c>
      <c r="J321" s="2">
        <f>IF(ISNUMBER(F321),F321-D321,"")</f>
        <v/>
      </c>
      <c r="K321" s="2">
        <f>G321-D321</f>
        <v/>
      </c>
      <c r="L321" s="2">
        <f>ABS(I321)</f>
        <v/>
      </c>
      <c r="M321" s="2">
        <f>IF(ISNUMBER(F321),ABS(F321-D321),"")</f>
        <v/>
      </c>
      <c r="N321" s="2">
        <f>ABS(K321)</f>
        <v/>
      </c>
      <c r="O321" s="3">
        <f>IF(D321=0,"",(E321-D321)/D321)</f>
        <v/>
      </c>
      <c r="P321" s="3">
        <f>IF(ISNUMBER(F321),IF(D321=0,"",(F321-D321)/D321),"")</f>
        <v/>
      </c>
      <c r="Q321" s="3">
        <f>IF(D321=0,"",(G321-D321)/D321)</f>
        <v/>
      </c>
    </row>
    <row r="322">
      <c r="A322" t="inlineStr">
        <is>
          <t>TSL/01/150gsm/2300mm</t>
        </is>
      </c>
      <c r="B322" t="inlineStr">
        <is>
          <t>SCVA</t>
        </is>
      </c>
      <c r="C322" t="inlineStr">
        <is>
          <t>2026-09</t>
        </is>
      </c>
      <c r="D322" s="2" t="n">
        <v>103.38</v>
      </c>
      <c r="E322" s="2" t="n">
        <v>106.902</v>
      </c>
      <c r="F322" s="2" t="n">
        <v>43</v>
      </c>
      <c r="G322" s="2" t="n">
        <v>104.016</v>
      </c>
      <c r="H322">
        <f>ISNUMBER(F322)</f>
        <v/>
      </c>
      <c r="I322" s="2">
        <f>E322-D322</f>
        <v/>
      </c>
      <c r="J322" s="2">
        <f>IF(ISNUMBER(F322),F322-D322,"")</f>
        <v/>
      </c>
      <c r="K322" s="2">
        <f>G322-D322</f>
        <v/>
      </c>
      <c r="L322" s="2">
        <f>ABS(I322)</f>
        <v/>
      </c>
      <c r="M322" s="2">
        <f>IF(ISNUMBER(F322),ABS(F322-D322),"")</f>
        <v/>
      </c>
      <c r="N322" s="2">
        <f>ABS(K322)</f>
        <v/>
      </c>
      <c r="O322" s="3">
        <f>IF(D322=0,"",(E322-D322)/D322)</f>
        <v/>
      </c>
      <c r="P322" s="3">
        <f>IF(ISNUMBER(F322),IF(D322=0,"",(F322-D322)/D322),"")</f>
        <v/>
      </c>
      <c r="Q322" s="3">
        <f>IF(D322=0,"",(G322-D322)/D322)</f>
        <v/>
      </c>
    </row>
    <row r="323">
      <c r="A323" t="inlineStr">
        <is>
          <t>TSL/01/150gsm/2450mm</t>
        </is>
      </c>
      <c r="B323" t="inlineStr">
        <is>
          <t>SCVA</t>
        </is>
      </c>
      <c r="C323" t="inlineStr">
        <is>
          <t>2026-09</t>
        </is>
      </c>
      <c r="D323" s="2" t="n">
        <v>103.201</v>
      </c>
      <c r="E323" s="2" t="n">
        <v>107.683</v>
      </c>
      <c r="F323" s="2" t="n">
        <v>66</v>
      </c>
      <c r="G323" s="2" t="n">
        <v>87.723</v>
      </c>
      <c r="H323">
        <f>ISNUMBER(F323)</f>
        <v/>
      </c>
      <c r="I323" s="2">
        <f>E323-D323</f>
        <v/>
      </c>
      <c r="J323" s="2">
        <f>IF(ISNUMBER(F323),F323-D323,"")</f>
        <v/>
      </c>
      <c r="K323" s="2">
        <f>G323-D323</f>
        <v/>
      </c>
      <c r="L323" s="2">
        <f>ABS(I323)</f>
        <v/>
      </c>
      <c r="M323" s="2">
        <f>IF(ISNUMBER(F323),ABS(F323-D323),"")</f>
        <v/>
      </c>
      <c r="N323" s="2">
        <f>ABS(K323)</f>
        <v/>
      </c>
      <c r="O323" s="3">
        <f>IF(D323=0,"",(E323-D323)/D323)</f>
        <v/>
      </c>
      <c r="P323" s="3">
        <f>IF(ISNUMBER(F323),IF(D323=0,"",(F323-D323)/D323),"")</f>
        <v/>
      </c>
      <c r="Q323" s="3">
        <f>IF(D323=0,"",(G323-D323)/D323)</f>
        <v/>
      </c>
    </row>
    <row r="324">
      <c r="A324" t="inlineStr">
        <is>
          <t>HP2/01/115gsm/1790mm</t>
        </is>
      </c>
      <c r="B324" t="inlineStr">
        <is>
          <t>SPAL</t>
        </is>
      </c>
      <c r="C324" t="inlineStr">
        <is>
          <t>2026-09</t>
        </is>
      </c>
      <c r="D324" s="2" t="n">
        <v>44.338</v>
      </c>
      <c r="E324" s="2" t="n">
        <v>65</v>
      </c>
      <c r="F324" s="2" t="n">
        <v>145</v>
      </c>
      <c r="G324" s="2" t="n">
        <v>49.8</v>
      </c>
      <c r="H324">
        <f>ISNUMBER(F324)</f>
        <v/>
      </c>
      <c r="I324" s="2">
        <f>E324-D324</f>
        <v/>
      </c>
      <c r="J324" s="2">
        <f>IF(ISNUMBER(F324),F324-D324,"")</f>
        <v/>
      </c>
      <c r="K324" s="2">
        <f>G324-D324</f>
        <v/>
      </c>
      <c r="L324" s="2">
        <f>ABS(I324)</f>
        <v/>
      </c>
      <c r="M324" s="2">
        <f>IF(ISNUMBER(F324),ABS(F324-D324),"")</f>
        <v/>
      </c>
      <c r="N324" s="2">
        <f>ABS(K324)</f>
        <v/>
      </c>
      <c r="O324" s="3">
        <f>IF(D324=0,"",(E324-D324)/D324)</f>
        <v/>
      </c>
      <c r="P324" s="3">
        <f>IF(ISNUMBER(F324),IF(D324=0,"",(F324-D324)/D324),"")</f>
        <v/>
      </c>
      <c r="Q324" s="3">
        <f>IF(D324=0,"",(G324-D324)/D324)</f>
        <v/>
      </c>
    </row>
    <row r="325">
      <c r="A325" t="inlineStr">
        <is>
          <t>HP2/01/115gsm/1990mm</t>
        </is>
      </c>
      <c r="B325" t="inlineStr">
        <is>
          <t>SPAL</t>
        </is>
      </c>
      <c r="C325" t="inlineStr">
        <is>
          <t>2026-09</t>
        </is>
      </c>
      <c r="D325" s="2" t="n">
        <v>124.47</v>
      </c>
      <c r="E325" s="2" t="n">
        <v>100</v>
      </c>
      <c r="F325" s="2" t="n">
        <v>177</v>
      </c>
      <c r="G325" s="2" t="n">
        <v>108.019</v>
      </c>
      <c r="H325">
        <f>ISNUMBER(F325)</f>
        <v/>
      </c>
      <c r="I325" s="2">
        <f>E325-D325</f>
        <v/>
      </c>
      <c r="J325" s="2">
        <f>IF(ISNUMBER(F325),F325-D325,"")</f>
        <v/>
      </c>
      <c r="K325" s="2">
        <f>G325-D325</f>
        <v/>
      </c>
      <c r="L325" s="2">
        <f>ABS(I325)</f>
        <v/>
      </c>
      <c r="M325" s="2">
        <f>IF(ISNUMBER(F325),ABS(F325-D325),"")</f>
        <v/>
      </c>
      <c r="N325" s="2">
        <f>ABS(K325)</f>
        <v/>
      </c>
      <c r="O325" s="3">
        <f>IF(D325=0,"",(E325-D325)/D325)</f>
        <v/>
      </c>
      <c r="P325" s="3">
        <f>IF(ISNUMBER(F325),IF(D325=0,"",(F325-D325)/D325),"")</f>
        <v/>
      </c>
      <c r="Q325" s="3">
        <f>IF(D325=0,"",(G325-D325)/D325)</f>
        <v/>
      </c>
    </row>
    <row r="326">
      <c r="A326" t="inlineStr">
        <is>
          <t>HP2/01/115gsm/2090mm</t>
        </is>
      </c>
      <c r="B326" t="inlineStr">
        <is>
          <t>SPAL</t>
        </is>
      </c>
      <c r="C326" t="inlineStr">
        <is>
          <t>2026-09</t>
        </is>
      </c>
      <c r="D326" s="2" t="n">
        <v>60.731</v>
      </c>
      <c r="E326" s="2" t="n">
        <v>95</v>
      </c>
      <c r="F326" s="2" t="n">
        <v>207</v>
      </c>
      <c r="G326" s="2" t="n">
        <v>82.96599999999999</v>
      </c>
      <c r="H326">
        <f>ISNUMBER(F326)</f>
        <v/>
      </c>
      <c r="I326" s="2">
        <f>E326-D326</f>
        <v/>
      </c>
      <c r="J326" s="2">
        <f>IF(ISNUMBER(F326),F326-D326,"")</f>
        <v/>
      </c>
      <c r="K326" s="2">
        <f>G326-D326</f>
        <v/>
      </c>
      <c r="L326" s="2">
        <f>ABS(I326)</f>
        <v/>
      </c>
      <c r="M326" s="2">
        <f>IF(ISNUMBER(F326),ABS(F326-D326),"")</f>
        <v/>
      </c>
      <c r="N326" s="2">
        <f>ABS(K326)</f>
        <v/>
      </c>
      <c r="O326" s="3">
        <f>IF(D326=0,"",(E326-D326)/D326)</f>
        <v/>
      </c>
      <c r="P326" s="3">
        <f>IF(ISNUMBER(F326),IF(D326=0,"",(F326-D326)/D326),"")</f>
        <v/>
      </c>
      <c r="Q326" s="3">
        <f>IF(D326=0,"",(G326-D326)/D326)</f>
        <v/>
      </c>
    </row>
    <row r="327">
      <c r="A327" t="inlineStr">
        <is>
          <t>HP2/01/115gsm/2290mm</t>
        </is>
      </c>
      <c r="B327" t="inlineStr">
        <is>
          <t>SPAL</t>
        </is>
      </c>
      <c r="C327" t="inlineStr">
        <is>
          <t>2026-09</t>
        </is>
      </c>
      <c r="D327" s="2" t="n">
        <v>126.039</v>
      </c>
      <c r="E327" s="2" t="n">
        <v>150</v>
      </c>
      <c r="F327" s="2" t="n">
        <v>246</v>
      </c>
      <c r="G327" s="2" t="n">
        <v>123.922</v>
      </c>
      <c r="H327">
        <f>ISNUMBER(F327)</f>
        <v/>
      </c>
      <c r="I327" s="2">
        <f>E327-D327</f>
        <v/>
      </c>
      <c r="J327" s="2">
        <f>IF(ISNUMBER(F327),F327-D327,"")</f>
        <v/>
      </c>
      <c r="K327" s="2">
        <f>G327-D327</f>
        <v/>
      </c>
      <c r="L327" s="2">
        <f>ABS(I327)</f>
        <v/>
      </c>
      <c r="M327" s="2">
        <f>IF(ISNUMBER(F327),ABS(F327-D327),"")</f>
        <v/>
      </c>
      <c r="N327" s="2">
        <f>ABS(K327)</f>
        <v/>
      </c>
      <c r="O327" s="3">
        <f>IF(D327=0,"",(E327-D327)/D327)</f>
        <v/>
      </c>
      <c r="P327" s="3">
        <f>IF(ISNUMBER(F327),IF(D327=0,"",(F327-D327)/D327),"")</f>
        <v/>
      </c>
      <c r="Q327" s="3">
        <f>IF(D327=0,"",(G327-D327)/D327)</f>
        <v/>
      </c>
    </row>
    <row r="328">
      <c r="A328" t="inlineStr">
        <is>
          <t>HP2/01/115gsm/2440mm</t>
        </is>
      </c>
      <c r="B328" t="inlineStr">
        <is>
          <t>SPAL</t>
        </is>
      </c>
      <c r="C328" t="inlineStr">
        <is>
          <t>2026-09</t>
        </is>
      </c>
      <c r="D328" s="2" t="n">
        <v>113.547</v>
      </c>
      <c r="E328" s="2" t="n">
        <v>160</v>
      </c>
      <c r="F328" s="2" t="n">
        <v>227</v>
      </c>
      <c r="G328" s="2" t="n">
        <v>134.003</v>
      </c>
      <c r="H328">
        <f>ISNUMBER(F328)</f>
        <v/>
      </c>
      <c r="I328" s="2">
        <f>E328-D328</f>
        <v/>
      </c>
      <c r="J328" s="2">
        <f>IF(ISNUMBER(F328),F328-D328,"")</f>
        <v/>
      </c>
      <c r="K328" s="2">
        <f>G328-D328</f>
        <v/>
      </c>
      <c r="L328" s="2">
        <f>ABS(I328)</f>
        <v/>
      </c>
      <c r="M328" s="2">
        <f>IF(ISNUMBER(F328),ABS(F328-D328),"")</f>
        <v/>
      </c>
      <c r="N328" s="2">
        <f>ABS(K328)</f>
        <v/>
      </c>
      <c r="O328" s="3">
        <f>IF(D328=0,"",(E328-D328)/D328)</f>
        <v/>
      </c>
      <c r="P328" s="3">
        <f>IF(ISNUMBER(F328),IF(D328=0,"",(F328-D328)/D328),"")</f>
        <v/>
      </c>
      <c r="Q328" s="3">
        <f>IF(D328=0,"",(G328-D328)/D328)</f>
        <v/>
      </c>
    </row>
    <row r="329">
      <c r="A329" t="inlineStr">
        <is>
          <t>HP2/01/155gsm/1790mm</t>
        </is>
      </c>
      <c r="B329" t="inlineStr">
        <is>
          <t>SPAL</t>
        </is>
      </c>
      <c r="C329" t="inlineStr">
        <is>
          <t>2026-09</t>
        </is>
      </c>
      <c r="D329" s="2" t="n">
        <v>172.202</v>
      </c>
      <c r="E329" s="2" t="n">
        <v>180</v>
      </c>
      <c r="F329" s="2" t="n">
        <v>81</v>
      </c>
      <c r="G329" s="2" t="n">
        <v>160.015</v>
      </c>
      <c r="H329">
        <f>ISNUMBER(F329)</f>
        <v/>
      </c>
      <c r="I329" s="2">
        <f>E329-D329</f>
        <v/>
      </c>
      <c r="J329" s="2">
        <f>IF(ISNUMBER(F329),F329-D329,"")</f>
        <v/>
      </c>
      <c r="K329" s="2">
        <f>G329-D329</f>
        <v/>
      </c>
      <c r="L329" s="2">
        <f>ABS(I329)</f>
        <v/>
      </c>
      <c r="M329" s="2">
        <f>IF(ISNUMBER(F329),ABS(F329-D329),"")</f>
        <v/>
      </c>
      <c r="N329" s="2">
        <f>ABS(K329)</f>
        <v/>
      </c>
      <c r="O329" s="3">
        <f>IF(D329=0,"",(E329-D329)/D329)</f>
        <v/>
      </c>
      <c r="P329" s="3">
        <f>IF(ISNUMBER(F329),IF(D329=0,"",(F329-D329)/D329),"")</f>
        <v/>
      </c>
      <c r="Q329" s="3">
        <f>IF(D329=0,"",(G329-D329)/D329)</f>
        <v/>
      </c>
    </row>
    <row r="330">
      <c r="A330" t="inlineStr">
        <is>
          <t>HP2/01/155gsm/1990mm</t>
        </is>
      </c>
      <c r="B330" t="inlineStr">
        <is>
          <t>SPAL</t>
        </is>
      </c>
      <c r="C330" t="inlineStr">
        <is>
          <t>2026-09</t>
        </is>
      </c>
      <c r="D330" s="2" t="n">
        <v>235.712</v>
      </c>
      <c r="E330" s="2" t="n">
        <v>190</v>
      </c>
      <c r="F330" s="2" t="n">
        <v>144</v>
      </c>
      <c r="G330" s="2" t="n">
        <v>126.76</v>
      </c>
      <c r="H330">
        <f>ISNUMBER(F330)</f>
        <v/>
      </c>
      <c r="I330" s="2">
        <f>E330-D330</f>
        <v/>
      </c>
      <c r="J330" s="2">
        <f>IF(ISNUMBER(F330),F330-D330,"")</f>
        <v/>
      </c>
      <c r="K330" s="2">
        <f>G330-D330</f>
        <v/>
      </c>
      <c r="L330" s="2">
        <f>ABS(I330)</f>
        <v/>
      </c>
      <c r="M330" s="2">
        <f>IF(ISNUMBER(F330),ABS(F330-D330),"")</f>
        <v/>
      </c>
      <c r="N330" s="2">
        <f>ABS(K330)</f>
        <v/>
      </c>
      <c r="O330" s="3">
        <f>IF(D330=0,"",(E330-D330)/D330)</f>
        <v/>
      </c>
      <c r="P330" s="3">
        <f>IF(ISNUMBER(F330),IF(D330=0,"",(F330-D330)/D330),"")</f>
        <v/>
      </c>
      <c r="Q330" s="3">
        <f>IF(D330=0,"",(G330-D330)/D330)</f>
        <v/>
      </c>
    </row>
    <row r="331">
      <c r="A331" t="inlineStr">
        <is>
          <t>HP2/01/155gsm/2090mm</t>
        </is>
      </c>
      <c r="B331" t="inlineStr">
        <is>
          <t>SPAL</t>
        </is>
      </c>
      <c r="C331" t="inlineStr">
        <is>
          <t>2026-09</t>
        </is>
      </c>
      <c r="D331" s="2" t="n">
        <v>88.06</v>
      </c>
      <c r="E331" s="2" t="n">
        <v>160</v>
      </c>
      <c r="F331" s="2" t="n">
        <v>114</v>
      </c>
      <c r="G331" s="2" t="n">
        <v>105.357</v>
      </c>
      <c r="H331">
        <f>ISNUMBER(F331)</f>
        <v/>
      </c>
      <c r="I331" s="2">
        <f>E331-D331</f>
        <v/>
      </c>
      <c r="J331" s="2">
        <f>IF(ISNUMBER(F331),F331-D331,"")</f>
        <v/>
      </c>
      <c r="K331" s="2">
        <f>G331-D331</f>
        <v/>
      </c>
      <c r="L331" s="2">
        <f>ABS(I331)</f>
        <v/>
      </c>
      <c r="M331" s="2">
        <f>IF(ISNUMBER(F331),ABS(F331-D331),"")</f>
        <v/>
      </c>
      <c r="N331" s="2">
        <f>ABS(K331)</f>
        <v/>
      </c>
      <c r="O331" s="3">
        <f>IF(D331=0,"",(E331-D331)/D331)</f>
        <v/>
      </c>
      <c r="P331" s="3">
        <f>IF(ISNUMBER(F331),IF(D331=0,"",(F331-D331)/D331),"")</f>
        <v/>
      </c>
      <c r="Q331" s="3">
        <f>IF(D331=0,"",(G331-D331)/D331)</f>
        <v/>
      </c>
    </row>
    <row r="332">
      <c r="A332" t="inlineStr">
        <is>
          <t>HP2/01/155gsm/2290mm</t>
        </is>
      </c>
      <c r="B332" t="inlineStr">
        <is>
          <t>SPAL</t>
        </is>
      </c>
      <c r="C332" t="inlineStr">
        <is>
          <t>2026-09</t>
        </is>
      </c>
      <c r="D332" s="2" t="n">
        <v>135.538</v>
      </c>
      <c r="E332" s="2" t="n">
        <v>175</v>
      </c>
      <c r="F332" s="2" t="n">
        <v>152</v>
      </c>
      <c r="G332" s="2" t="n">
        <v>159.366</v>
      </c>
      <c r="H332">
        <f>ISNUMBER(F332)</f>
        <v/>
      </c>
      <c r="I332" s="2">
        <f>E332-D332</f>
        <v/>
      </c>
      <c r="J332" s="2">
        <f>IF(ISNUMBER(F332),F332-D332,"")</f>
        <v/>
      </c>
      <c r="K332" s="2">
        <f>G332-D332</f>
        <v/>
      </c>
      <c r="L332" s="2">
        <f>ABS(I332)</f>
        <v/>
      </c>
      <c r="M332" s="2">
        <f>IF(ISNUMBER(F332),ABS(F332-D332),"")</f>
        <v/>
      </c>
      <c r="N332" s="2">
        <f>ABS(K332)</f>
        <v/>
      </c>
      <c r="O332" s="3">
        <f>IF(D332=0,"",(E332-D332)/D332)</f>
        <v/>
      </c>
      <c r="P332" s="3">
        <f>IF(ISNUMBER(F332),IF(D332=0,"",(F332-D332)/D332),"")</f>
        <v/>
      </c>
      <c r="Q332" s="3">
        <f>IF(D332=0,"",(G332-D332)/D332)</f>
        <v/>
      </c>
    </row>
    <row r="333">
      <c r="A333" t="inlineStr">
        <is>
          <t>HP2/01/155gsm/2440mm</t>
        </is>
      </c>
      <c r="B333" t="inlineStr">
        <is>
          <t>SPAL</t>
        </is>
      </c>
      <c r="C333" t="inlineStr">
        <is>
          <t>2026-09</t>
        </is>
      </c>
      <c r="D333" s="2" t="n">
        <v>126.008</v>
      </c>
      <c r="E333" s="2" t="n">
        <v>190</v>
      </c>
      <c r="F333" s="2" t="n">
        <v>154</v>
      </c>
      <c r="G333" s="2" t="n">
        <v>171.913</v>
      </c>
      <c r="H333">
        <f>ISNUMBER(F333)</f>
        <v/>
      </c>
      <c r="I333" s="2">
        <f>E333-D333</f>
        <v/>
      </c>
      <c r="J333" s="2">
        <f>IF(ISNUMBER(F333),F333-D333,"")</f>
        <v/>
      </c>
      <c r="K333" s="2">
        <f>G333-D333</f>
        <v/>
      </c>
      <c r="L333" s="2">
        <f>ABS(I333)</f>
        <v/>
      </c>
      <c r="M333" s="2">
        <f>IF(ISNUMBER(F333),ABS(F333-D333),"")</f>
        <v/>
      </c>
      <c r="N333" s="2">
        <f>ABS(K333)</f>
        <v/>
      </c>
      <c r="O333" s="3">
        <f>IF(D333=0,"",(E333-D333)/D333)</f>
        <v/>
      </c>
      <c r="P333" s="3">
        <f>IF(ISNUMBER(F333),IF(D333=0,"",(F333-D333)/D333),"")</f>
        <v/>
      </c>
      <c r="Q333" s="3">
        <f>IF(D333=0,"",(G333-D333)/D333)</f>
        <v/>
      </c>
    </row>
    <row r="334">
      <c r="A334" t="inlineStr">
        <is>
          <t>K/01/110gsm/1800mm</t>
        </is>
      </c>
      <c r="B334" t="inlineStr">
        <is>
          <t>SPAL</t>
        </is>
      </c>
      <c r="C334" t="inlineStr">
        <is>
          <t>2026-09</t>
        </is>
      </c>
      <c r="D334" s="2" t="n">
        <v>44.849</v>
      </c>
      <c r="E334" s="2" t="n">
        <v>40</v>
      </c>
      <c r="F334" s="2" t="n">
        <v>36</v>
      </c>
      <c r="G334" s="2" t="n">
        <v>41.022</v>
      </c>
      <c r="H334">
        <f>ISNUMBER(F334)</f>
        <v/>
      </c>
      <c r="I334" s="2">
        <f>E334-D334</f>
        <v/>
      </c>
      <c r="J334" s="2">
        <f>IF(ISNUMBER(F334),F334-D334,"")</f>
        <v/>
      </c>
      <c r="K334" s="2">
        <f>G334-D334</f>
        <v/>
      </c>
      <c r="L334" s="2">
        <f>ABS(I334)</f>
        <v/>
      </c>
      <c r="M334" s="2">
        <f>IF(ISNUMBER(F334),ABS(F334-D334),"")</f>
        <v/>
      </c>
      <c r="N334" s="2">
        <f>ABS(K334)</f>
        <v/>
      </c>
      <c r="O334" s="3">
        <f>IF(D334=0,"",(E334-D334)/D334)</f>
        <v/>
      </c>
      <c r="P334" s="3">
        <f>IF(ISNUMBER(F334),IF(D334=0,"",(F334-D334)/D334),"")</f>
        <v/>
      </c>
      <c r="Q334" s="3">
        <f>IF(D334=0,"",(G334-D334)/D334)</f>
        <v/>
      </c>
    </row>
    <row r="335">
      <c r="A335" t="inlineStr">
        <is>
          <t>K/01/135gsm/2000mm</t>
        </is>
      </c>
      <c r="B335" t="inlineStr">
        <is>
          <t>SPAL</t>
        </is>
      </c>
      <c r="C335" t="inlineStr">
        <is>
          <t>2026-09</t>
        </is>
      </c>
      <c r="D335" s="2" t="n">
        <v>74.613</v>
      </c>
      <c r="E335" s="2" t="n">
        <v>50</v>
      </c>
      <c r="F335" s="2" t="n">
        <v>45</v>
      </c>
      <c r="G335" s="2" t="n">
        <v>68.69</v>
      </c>
      <c r="H335">
        <f>ISNUMBER(F335)</f>
        <v/>
      </c>
      <c r="I335" s="2">
        <f>E335-D335</f>
        <v/>
      </c>
      <c r="J335" s="2">
        <f>IF(ISNUMBER(F335),F335-D335,"")</f>
        <v/>
      </c>
      <c r="K335" s="2">
        <f>G335-D335</f>
        <v/>
      </c>
      <c r="L335" s="2">
        <f>ABS(I335)</f>
        <v/>
      </c>
      <c r="M335" s="2">
        <f>IF(ISNUMBER(F335),ABS(F335-D335),"")</f>
        <v/>
      </c>
      <c r="N335" s="2">
        <f>ABS(K335)</f>
        <v/>
      </c>
      <c r="O335" s="3">
        <f>IF(D335=0,"",(E335-D335)/D335)</f>
        <v/>
      </c>
      <c r="P335" s="3">
        <f>IF(ISNUMBER(F335),IF(D335=0,"",(F335-D335)/D335),"")</f>
        <v/>
      </c>
      <c r="Q335" s="3">
        <f>IF(D335=0,"",(G335-D335)/D335)</f>
        <v/>
      </c>
    </row>
    <row r="336">
      <c r="A336" t="inlineStr">
        <is>
          <t>K/01/135gsm/2100mm</t>
        </is>
      </c>
      <c r="B336" t="inlineStr">
        <is>
          <t>SPAL</t>
        </is>
      </c>
      <c r="C336" t="inlineStr">
        <is>
          <t>2026-09</t>
        </is>
      </c>
      <c r="D336" s="2" t="n">
        <v>14.863</v>
      </c>
      <c r="E336" s="2" t="n">
        <v>24</v>
      </c>
      <c r="F336" s="2" t="n">
        <v>32</v>
      </c>
      <c r="G336" s="2" t="n">
        <v>21.776</v>
      </c>
      <c r="H336">
        <f>ISNUMBER(F336)</f>
        <v/>
      </c>
      <c r="I336" s="2">
        <f>E336-D336</f>
        <v/>
      </c>
      <c r="J336" s="2">
        <f>IF(ISNUMBER(F336),F336-D336,"")</f>
        <v/>
      </c>
      <c r="K336" s="2">
        <f>G336-D336</f>
        <v/>
      </c>
      <c r="L336" s="2">
        <f>ABS(I336)</f>
        <v/>
      </c>
      <c r="M336" s="2">
        <f>IF(ISNUMBER(F336),ABS(F336-D336),"")</f>
        <v/>
      </c>
      <c r="N336" s="2">
        <f>ABS(K336)</f>
        <v/>
      </c>
      <c r="O336" s="3">
        <f>IF(D336=0,"",(E336-D336)/D336)</f>
        <v/>
      </c>
      <c r="P336" s="3">
        <f>IF(ISNUMBER(F336),IF(D336=0,"",(F336-D336)/D336),"")</f>
        <v/>
      </c>
      <c r="Q336" s="3">
        <f>IF(D336=0,"",(G336-D336)/D336)</f>
        <v/>
      </c>
    </row>
    <row r="337">
      <c r="A337" t="inlineStr">
        <is>
          <t>K/01/135gsm/2300mm</t>
        </is>
      </c>
      <c r="B337" t="inlineStr">
        <is>
          <t>SPAL</t>
        </is>
      </c>
      <c r="C337" t="inlineStr">
        <is>
          <t>2026-09</t>
        </is>
      </c>
      <c r="D337" s="2" t="n">
        <v>33.687</v>
      </c>
      <c r="E337" s="2" t="n">
        <v>24</v>
      </c>
      <c r="F337" s="2" t="n">
        <v>26</v>
      </c>
      <c r="G337" s="2" t="n">
        <v>35.973</v>
      </c>
      <c r="H337">
        <f>ISNUMBER(F337)</f>
        <v/>
      </c>
      <c r="I337" s="2">
        <f>E337-D337</f>
        <v/>
      </c>
      <c r="J337" s="2">
        <f>IF(ISNUMBER(F337),F337-D337,"")</f>
        <v/>
      </c>
      <c r="K337" s="2">
        <f>G337-D337</f>
        <v/>
      </c>
      <c r="L337" s="2">
        <f>ABS(I337)</f>
        <v/>
      </c>
      <c r="M337" s="2">
        <f>IF(ISNUMBER(F337),ABS(F337-D337),"")</f>
        <v/>
      </c>
      <c r="N337" s="2">
        <f>ABS(K337)</f>
        <v/>
      </c>
      <c r="O337" s="3">
        <f>IF(D337=0,"",(E337-D337)/D337)</f>
        <v/>
      </c>
      <c r="P337" s="3">
        <f>IF(ISNUMBER(F337),IF(D337=0,"",(F337-D337)/D337),"")</f>
        <v/>
      </c>
      <c r="Q337" s="3">
        <f>IF(D337=0,"",(G337-D337)/D337)</f>
        <v/>
      </c>
    </row>
    <row r="338">
      <c r="A338" t="inlineStr">
        <is>
          <t>K/01/135gsm/2450mm</t>
        </is>
      </c>
      <c r="B338" t="inlineStr">
        <is>
          <t>SPAL</t>
        </is>
      </c>
      <c r="C338" t="inlineStr">
        <is>
          <t>2026-09</t>
        </is>
      </c>
      <c r="D338" s="2" t="n">
        <v>21.962</v>
      </c>
      <c r="E338" s="2" t="n">
        <v>50</v>
      </c>
      <c r="F338" s="2" t="n">
        <v>27</v>
      </c>
      <c r="G338" s="2" t="n">
        <v>49.146</v>
      </c>
      <c r="H338">
        <f>ISNUMBER(F338)</f>
        <v/>
      </c>
      <c r="I338" s="2">
        <f>E338-D338</f>
        <v/>
      </c>
      <c r="J338" s="2">
        <f>IF(ISNUMBER(F338),F338-D338,"")</f>
        <v/>
      </c>
      <c r="K338" s="2">
        <f>G338-D338</f>
        <v/>
      </c>
      <c r="L338" s="2">
        <f>ABS(I338)</f>
        <v/>
      </c>
      <c r="M338" s="2">
        <f>IF(ISNUMBER(F338),ABS(F338-D338),"")</f>
        <v/>
      </c>
      <c r="N338" s="2">
        <f>ABS(K338)</f>
        <v/>
      </c>
      <c r="O338" s="3">
        <f>IF(D338=0,"",(E338-D338)/D338)</f>
        <v/>
      </c>
      <c r="P338" s="3">
        <f>IF(ISNUMBER(F338),IF(D338=0,"",(F338-D338)/D338),"")</f>
        <v/>
      </c>
      <c r="Q338" s="3">
        <f>IF(D338=0,"",(G338-D338)/D338)</f>
        <v/>
      </c>
    </row>
    <row r="339">
      <c r="A339" t="inlineStr">
        <is>
          <t>K/01/160gsm/2100mm</t>
        </is>
      </c>
      <c r="B339" t="inlineStr">
        <is>
          <t>SPAL</t>
        </is>
      </c>
      <c r="C339" t="inlineStr">
        <is>
          <t>2026-09</t>
        </is>
      </c>
      <c r="D339" s="2" t="n">
        <v>29.321</v>
      </c>
      <c r="E339" s="2" t="n">
        <v>36</v>
      </c>
      <c r="F339" s="2" t="n">
        <v>15</v>
      </c>
      <c r="G339" s="2" t="n">
        <v>30.166</v>
      </c>
      <c r="H339">
        <f>ISNUMBER(F339)</f>
        <v/>
      </c>
      <c r="I339" s="2">
        <f>E339-D339</f>
        <v/>
      </c>
      <c r="J339" s="2">
        <f>IF(ISNUMBER(F339),F339-D339,"")</f>
        <v/>
      </c>
      <c r="K339" s="2">
        <f>G339-D339</f>
        <v/>
      </c>
      <c r="L339" s="2">
        <f>ABS(I339)</f>
        <v/>
      </c>
      <c r="M339" s="2">
        <f>IF(ISNUMBER(F339),ABS(F339-D339),"")</f>
        <v/>
      </c>
      <c r="N339" s="2">
        <f>ABS(K339)</f>
        <v/>
      </c>
      <c r="O339" s="3">
        <f>IF(D339=0,"",(E339-D339)/D339)</f>
        <v/>
      </c>
      <c r="P339" s="3">
        <f>IF(ISNUMBER(F339),IF(D339=0,"",(F339-D339)/D339),"")</f>
        <v/>
      </c>
      <c r="Q339" s="3">
        <f>IF(D339=0,"",(G339-D339)/D339)</f>
        <v/>
      </c>
    </row>
    <row r="340">
      <c r="A340" t="inlineStr">
        <is>
          <t>K/01/160gsm/2300mm</t>
        </is>
      </c>
      <c r="B340" t="inlineStr">
        <is>
          <t>SPAL</t>
        </is>
      </c>
      <c r="C340" t="inlineStr">
        <is>
          <t>2026-09</t>
        </is>
      </c>
      <c r="D340" s="2" t="n">
        <v>51.578</v>
      </c>
      <c r="E340" s="2" t="n">
        <v>56</v>
      </c>
      <c r="F340" s="2" t="n">
        <v>33</v>
      </c>
      <c r="G340" s="2" t="n">
        <v>53.382</v>
      </c>
      <c r="H340">
        <f>ISNUMBER(F340)</f>
        <v/>
      </c>
      <c r="I340" s="2">
        <f>E340-D340</f>
        <v/>
      </c>
      <c r="J340" s="2">
        <f>IF(ISNUMBER(F340),F340-D340,"")</f>
        <v/>
      </c>
      <c r="K340" s="2">
        <f>G340-D340</f>
        <v/>
      </c>
      <c r="L340" s="2">
        <f>ABS(I340)</f>
        <v/>
      </c>
      <c r="M340" s="2">
        <f>IF(ISNUMBER(F340),ABS(F340-D340),"")</f>
        <v/>
      </c>
      <c r="N340" s="2">
        <f>ABS(K340)</f>
        <v/>
      </c>
      <c r="O340" s="3">
        <f>IF(D340=0,"",(E340-D340)/D340)</f>
        <v/>
      </c>
      <c r="P340" s="3">
        <f>IF(ISNUMBER(F340),IF(D340=0,"",(F340-D340)/D340),"")</f>
        <v/>
      </c>
      <c r="Q340" s="3">
        <f>IF(D340=0,"",(G340-D340)/D340)</f>
        <v/>
      </c>
    </row>
    <row r="341">
      <c r="A341" t="inlineStr">
        <is>
          <t>K/01/160gsm/2450mm</t>
        </is>
      </c>
      <c r="B341" t="inlineStr">
        <is>
          <t>SPAL</t>
        </is>
      </c>
      <c r="C341" t="inlineStr">
        <is>
          <t>2026-09</t>
        </is>
      </c>
      <c r="D341" s="2" t="n">
        <v>29.782</v>
      </c>
      <c r="E341" s="2" t="n">
        <v>50</v>
      </c>
      <c r="F341" s="2" t="n">
        <v>39</v>
      </c>
      <c r="G341" s="2" t="n">
        <v>48.941</v>
      </c>
      <c r="H341">
        <f>ISNUMBER(F341)</f>
        <v/>
      </c>
      <c r="I341" s="2">
        <f>E341-D341</f>
        <v/>
      </c>
      <c r="J341" s="2">
        <f>IF(ISNUMBER(F341),F341-D341,"")</f>
        <v/>
      </c>
      <c r="K341" s="2">
        <f>G341-D341</f>
        <v/>
      </c>
      <c r="L341" s="2">
        <f>ABS(I341)</f>
        <v/>
      </c>
      <c r="M341" s="2">
        <f>IF(ISNUMBER(F341),ABS(F341-D341),"")</f>
        <v/>
      </c>
      <c r="N341" s="2">
        <f>ABS(K341)</f>
        <v/>
      </c>
      <c r="O341" s="3">
        <f>IF(D341=0,"",(E341-D341)/D341)</f>
        <v/>
      </c>
      <c r="P341" s="3">
        <f>IF(ISNUMBER(F341),IF(D341=0,"",(F341-D341)/D341),"")</f>
        <v/>
      </c>
      <c r="Q341" s="3">
        <f>IF(D341=0,"",(G341-D341)/D341)</f>
        <v/>
      </c>
    </row>
    <row r="342">
      <c r="A342" t="inlineStr">
        <is>
          <t>K/01/225gsm/1800mm</t>
        </is>
      </c>
      <c r="B342" t="inlineStr">
        <is>
          <t>SPAL</t>
        </is>
      </c>
      <c r="C342" t="inlineStr">
        <is>
          <t>2026-09</t>
        </is>
      </c>
      <c r="D342" s="2" t="n">
        <v>34.081</v>
      </c>
      <c r="E342" s="2" t="n">
        <v>45</v>
      </c>
      <c r="F342" s="2" t="n">
        <v>12</v>
      </c>
      <c r="G342" s="2" t="n">
        <v>60.92</v>
      </c>
      <c r="H342">
        <f>ISNUMBER(F342)</f>
        <v/>
      </c>
      <c r="I342" s="2">
        <f>E342-D342</f>
        <v/>
      </c>
      <c r="J342" s="2">
        <f>IF(ISNUMBER(F342),F342-D342,"")</f>
        <v/>
      </c>
      <c r="K342" s="2">
        <f>G342-D342</f>
        <v/>
      </c>
      <c r="L342" s="2">
        <f>ABS(I342)</f>
        <v/>
      </c>
      <c r="M342" s="2">
        <f>IF(ISNUMBER(F342),ABS(F342-D342),"")</f>
        <v/>
      </c>
      <c r="N342" s="2">
        <f>ABS(K342)</f>
        <v/>
      </c>
      <c r="O342" s="3">
        <f>IF(D342=0,"",(E342-D342)/D342)</f>
        <v/>
      </c>
      <c r="P342" s="3">
        <f>IF(ISNUMBER(F342),IF(D342=0,"",(F342-D342)/D342),"")</f>
        <v/>
      </c>
      <c r="Q342" s="3">
        <f>IF(D342=0,"",(G342-D342)/D342)</f>
        <v/>
      </c>
    </row>
    <row r="343">
      <c r="A343" t="inlineStr">
        <is>
          <t>K/01/225gsm/2000mm</t>
        </is>
      </c>
      <c r="B343" t="inlineStr">
        <is>
          <t>SPAL</t>
        </is>
      </c>
      <c r="C343" t="inlineStr">
        <is>
          <t>2026-09</t>
        </is>
      </c>
      <c r="D343" s="2" t="n">
        <v>15.177</v>
      </c>
      <c r="E343" s="2" t="n">
        <v>48</v>
      </c>
      <c r="F343" s="2" t="n">
        <v>85</v>
      </c>
      <c r="G343" s="2" t="n">
        <v>5.602</v>
      </c>
      <c r="H343">
        <f>ISNUMBER(F343)</f>
        <v/>
      </c>
      <c r="I343" s="2">
        <f>E343-D343</f>
        <v/>
      </c>
      <c r="J343" s="2">
        <f>IF(ISNUMBER(F343),F343-D343,"")</f>
        <v/>
      </c>
      <c r="K343" s="2">
        <f>G343-D343</f>
        <v/>
      </c>
      <c r="L343" s="2">
        <f>ABS(I343)</f>
        <v/>
      </c>
      <c r="M343" s="2">
        <f>IF(ISNUMBER(F343),ABS(F343-D343),"")</f>
        <v/>
      </c>
      <c r="N343" s="2">
        <f>ABS(K343)</f>
        <v/>
      </c>
      <c r="O343" s="3">
        <f>IF(D343=0,"",(E343-D343)/D343)</f>
        <v/>
      </c>
      <c r="P343" s="3">
        <f>IF(ISNUMBER(F343),IF(D343=0,"",(F343-D343)/D343),"")</f>
        <v/>
      </c>
      <c r="Q343" s="3">
        <f>IF(D343=0,"",(G343-D343)/D343)</f>
        <v/>
      </c>
    </row>
    <row r="344">
      <c r="A344" t="inlineStr">
        <is>
          <t>K/01/225gsm/2100mm</t>
        </is>
      </c>
      <c r="B344" t="inlineStr">
        <is>
          <t>SPAL</t>
        </is>
      </c>
      <c r="C344" t="inlineStr">
        <is>
          <t>2026-09</t>
        </is>
      </c>
      <c r="D344" s="2" t="n">
        <v>10.781</v>
      </c>
      <c r="E344" s="2" t="n">
        <v>24</v>
      </c>
      <c r="F344" s="2" t="n">
        <v>20</v>
      </c>
      <c r="G344" s="2" t="n">
        <v>3.939</v>
      </c>
      <c r="H344">
        <f>ISNUMBER(F344)</f>
        <v/>
      </c>
      <c r="I344" s="2">
        <f>E344-D344</f>
        <v/>
      </c>
      <c r="J344" s="2">
        <f>IF(ISNUMBER(F344),F344-D344,"")</f>
        <v/>
      </c>
      <c r="K344" s="2">
        <f>G344-D344</f>
        <v/>
      </c>
      <c r="L344" s="2">
        <f>ABS(I344)</f>
        <v/>
      </c>
      <c r="M344" s="2">
        <f>IF(ISNUMBER(F344),ABS(F344-D344),"")</f>
        <v/>
      </c>
      <c r="N344" s="2">
        <f>ABS(K344)</f>
        <v/>
      </c>
      <c r="O344" s="3">
        <f>IF(D344=0,"",(E344-D344)/D344)</f>
        <v/>
      </c>
      <c r="P344" s="3">
        <f>IF(ISNUMBER(F344),IF(D344=0,"",(F344-D344)/D344),"")</f>
        <v/>
      </c>
      <c r="Q344" s="3">
        <f>IF(D344=0,"",(G344-D344)/D344)</f>
        <v/>
      </c>
    </row>
    <row r="345">
      <c r="A345" t="inlineStr">
        <is>
          <t>K/01/225gsm/2300mm</t>
        </is>
      </c>
      <c r="B345" t="inlineStr">
        <is>
          <t>SPAL</t>
        </is>
      </c>
      <c r="C345" t="inlineStr">
        <is>
          <t>2026-09</t>
        </is>
      </c>
      <c r="D345" s="2" t="n">
        <v>29.691</v>
      </c>
      <c r="E345" s="2" t="n">
        <v>24</v>
      </c>
      <c r="F345" s="2" t="n">
        <v>19</v>
      </c>
      <c r="G345" s="2" t="n">
        <v>27.316</v>
      </c>
      <c r="H345">
        <f>ISNUMBER(F345)</f>
        <v/>
      </c>
      <c r="I345" s="2">
        <f>E345-D345</f>
        <v/>
      </c>
      <c r="J345" s="2">
        <f>IF(ISNUMBER(F345),F345-D345,"")</f>
        <v/>
      </c>
      <c r="K345" s="2">
        <f>G345-D345</f>
        <v/>
      </c>
      <c r="L345" s="2">
        <f>ABS(I345)</f>
        <v/>
      </c>
      <c r="M345" s="2">
        <f>IF(ISNUMBER(F345),ABS(F345-D345),"")</f>
        <v/>
      </c>
      <c r="N345" s="2">
        <f>ABS(K345)</f>
        <v/>
      </c>
      <c r="O345" s="3">
        <f>IF(D345=0,"",(E345-D345)/D345)</f>
        <v/>
      </c>
      <c r="P345" s="3">
        <f>IF(ISNUMBER(F345),IF(D345=0,"",(F345-D345)/D345),"")</f>
        <v/>
      </c>
      <c r="Q345" s="3">
        <f>IF(D345=0,"",(G345-D345)/D345)</f>
        <v/>
      </c>
    </row>
    <row r="346">
      <c r="A346" t="inlineStr">
        <is>
          <t>K/01/225gsm/2450mm</t>
        </is>
      </c>
      <c r="B346" t="inlineStr">
        <is>
          <t>SPAL</t>
        </is>
      </c>
      <c r="C346" t="inlineStr">
        <is>
          <t>2026-09</t>
        </is>
      </c>
      <c r="D346" s="2" t="n">
        <v>50.839</v>
      </c>
      <c r="E346" s="2" t="n">
        <v>29</v>
      </c>
      <c r="F346" s="2" t="n">
        <v>65</v>
      </c>
      <c r="G346" s="2" t="n">
        <v>42.13</v>
      </c>
      <c r="H346">
        <f>ISNUMBER(F346)</f>
        <v/>
      </c>
      <c r="I346" s="2">
        <f>E346-D346</f>
        <v/>
      </c>
      <c r="J346" s="2">
        <f>IF(ISNUMBER(F346),F346-D346,"")</f>
        <v/>
      </c>
      <c r="K346" s="2">
        <f>G346-D346</f>
        <v/>
      </c>
      <c r="L346" s="2">
        <f>ABS(I346)</f>
        <v/>
      </c>
      <c r="M346" s="2">
        <f>IF(ISNUMBER(F346),ABS(F346-D346),"")</f>
        <v/>
      </c>
      <c r="N346" s="2">
        <f>ABS(K346)</f>
        <v/>
      </c>
      <c r="O346" s="3">
        <f>IF(D346=0,"",(E346-D346)/D346)</f>
        <v/>
      </c>
      <c r="P346" s="3">
        <f>IF(ISNUMBER(F346),IF(D346=0,"",(F346-D346)/D346),"")</f>
        <v/>
      </c>
      <c r="Q346" s="3">
        <f>IF(D346=0,"",(G346-D346)/D346)</f>
        <v/>
      </c>
    </row>
    <row r="347">
      <c r="A347" t="inlineStr">
        <is>
          <t>K/01/275gsm/2300mm</t>
        </is>
      </c>
      <c r="B347" t="inlineStr">
        <is>
          <t>SPAL</t>
        </is>
      </c>
      <c r="C347" t="inlineStr">
        <is>
          <t>2026-09</t>
        </is>
      </c>
      <c r="D347" s="2" t="n">
        <v>13.495</v>
      </c>
      <c r="E347" s="2" t="n">
        <v>20</v>
      </c>
      <c r="F347" s="2" t="n">
        <v>24</v>
      </c>
      <c r="G347" s="2" t="n">
        <v>19.597</v>
      </c>
      <c r="H347">
        <f>ISNUMBER(F347)</f>
        <v/>
      </c>
      <c r="I347" s="2">
        <f>E347-D347</f>
        <v/>
      </c>
      <c r="J347" s="2">
        <f>IF(ISNUMBER(F347),F347-D347,"")</f>
        <v/>
      </c>
      <c r="K347" s="2">
        <f>G347-D347</f>
        <v/>
      </c>
      <c r="L347" s="2">
        <f>ABS(I347)</f>
        <v/>
      </c>
      <c r="M347" s="2">
        <f>IF(ISNUMBER(F347),ABS(F347-D347),"")</f>
        <v/>
      </c>
      <c r="N347" s="2">
        <f>ABS(K347)</f>
        <v/>
      </c>
      <c r="O347" s="3">
        <f>IF(D347=0,"",(E347-D347)/D347)</f>
        <v/>
      </c>
      <c r="P347" s="3">
        <f>IF(ISNUMBER(F347),IF(D347=0,"",(F347-D347)/D347),"")</f>
        <v/>
      </c>
      <c r="Q347" s="3">
        <f>IF(D347=0,"",(G347-D347)/D347)</f>
        <v/>
      </c>
    </row>
    <row r="348">
      <c r="A348" t="inlineStr">
        <is>
          <t>KW2/01/115gsm/2000mm</t>
        </is>
      </c>
      <c r="B348" t="inlineStr">
        <is>
          <t>SPAL</t>
        </is>
      </c>
      <c r="C348" t="inlineStr">
        <is>
          <t>2026-09</t>
        </is>
      </c>
      <c r="D348" s="2" t="n">
        <v>49.894</v>
      </c>
      <c r="E348" s="2" t="n">
        <v>36</v>
      </c>
      <c r="F348" s="2" t="n">
        <v>28</v>
      </c>
      <c r="G348" s="2" t="n">
        <v>37.015</v>
      </c>
      <c r="H348">
        <f>ISNUMBER(F348)</f>
        <v/>
      </c>
      <c r="I348" s="2">
        <f>E348-D348</f>
        <v/>
      </c>
      <c r="J348" s="2">
        <f>IF(ISNUMBER(F348),F348-D348,"")</f>
        <v/>
      </c>
      <c r="K348" s="2">
        <f>G348-D348</f>
        <v/>
      </c>
      <c r="L348" s="2">
        <f>ABS(I348)</f>
        <v/>
      </c>
      <c r="M348" s="2">
        <f>IF(ISNUMBER(F348),ABS(F348-D348),"")</f>
        <v/>
      </c>
      <c r="N348" s="2">
        <f>ABS(K348)</f>
        <v/>
      </c>
      <c r="O348" s="3">
        <f>IF(D348=0,"",(E348-D348)/D348)</f>
        <v/>
      </c>
      <c r="P348" s="3">
        <f>IF(ISNUMBER(F348),IF(D348=0,"",(F348-D348)/D348),"")</f>
        <v/>
      </c>
      <c r="Q348" s="3">
        <f>IF(D348=0,"",(G348-D348)/D348)</f>
        <v/>
      </c>
    </row>
    <row r="349">
      <c r="A349" t="inlineStr">
        <is>
          <t>KW2/01/115gsm/2100mm</t>
        </is>
      </c>
      <c r="B349" t="inlineStr">
        <is>
          <t>SPAL</t>
        </is>
      </c>
      <c r="C349" t="inlineStr">
        <is>
          <t>2026-09</t>
        </is>
      </c>
      <c r="D349" s="2" t="n">
        <v>19.82</v>
      </c>
      <c r="E349" s="2" t="n">
        <v>29</v>
      </c>
      <c r="F349" s="2" t="n">
        <v>28</v>
      </c>
      <c r="G349" s="2" t="n">
        <v>31.756</v>
      </c>
      <c r="H349">
        <f>ISNUMBER(F349)</f>
        <v/>
      </c>
      <c r="I349" s="2">
        <f>E349-D349</f>
        <v/>
      </c>
      <c r="J349" s="2">
        <f>IF(ISNUMBER(F349),F349-D349,"")</f>
        <v/>
      </c>
      <c r="K349" s="2">
        <f>G349-D349</f>
        <v/>
      </c>
      <c r="L349" s="2">
        <f>ABS(I349)</f>
        <v/>
      </c>
      <c r="M349" s="2">
        <f>IF(ISNUMBER(F349),ABS(F349-D349),"")</f>
        <v/>
      </c>
      <c r="N349" s="2">
        <f>ABS(K349)</f>
        <v/>
      </c>
      <c r="O349" s="3">
        <f>IF(D349=0,"",(E349-D349)/D349)</f>
        <v/>
      </c>
      <c r="P349" s="3">
        <f>IF(ISNUMBER(F349),IF(D349=0,"",(F349-D349)/D349),"")</f>
        <v/>
      </c>
      <c r="Q349" s="3">
        <f>IF(D349=0,"",(G349-D349)/D349)</f>
        <v/>
      </c>
    </row>
    <row r="350">
      <c r="A350" t="inlineStr">
        <is>
          <t>KW2/01/115gsm/2300mm</t>
        </is>
      </c>
      <c r="B350" t="inlineStr">
        <is>
          <t>SPAL</t>
        </is>
      </c>
      <c r="C350" t="inlineStr">
        <is>
          <t>2026-09</t>
        </is>
      </c>
      <c r="D350" s="2" t="n">
        <v>54.418</v>
      </c>
      <c r="E350" s="2" t="n">
        <v>55</v>
      </c>
      <c r="F350" s="2" t="n">
        <v>39</v>
      </c>
      <c r="G350" s="2" t="n">
        <v>50.457</v>
      </c>
      <c r="H350">
        <f>ISNUMBER(F350)</f>
        <v/>
      </c>
      <c r="I350" s="2">
        <f>E350-D350</f>
        <v/>
      </c>
      <c r="J350" s="2">
        <f>IF(ISNUMBER(F350),F350-D350,"")</f>
        <v/>
      </c>
      <c r="K350" s="2">
        <f>G350-D350</f>
        <v/>
      </c>
      <c r="L350" s="2">
        <f>ABS(I350)</f>
        <v/>
      </c>
      <c r="M350" s="2">
        <f>IF(ISNUMBER(F350),ABS(F350-D350),"")</f>
        <v/>
      </c>
      <c r="N350" s="2">
        <f>ABS(K350)</f>
        <v/>
      </c>
      <c r="O350" s="3">
        <f>IF(D350=0,"",(E350-D350)/D350)</f>
        <v/>
      </c>
      <c r="P350" s="3">
        <f>IF(ISNUMBER(F350),IF(D350=0,"",(F350-D350)/D350),"")</f>
        <v/>
      </c>
      <c r="Q350" s="3">
        <f>IF(D350=0,"",(G350-D350)/D350)</f>
        <v/>
      </c>
    </row>
    <row r="351">
      <c r="A351" t="inlineStr">
        <is>
          <t>KW2/01/115gsm/2450mm</t>
        </is>
      </c>
      <c r="B351" t="inlineStr">
        <is>
          <t>SPAL</t>
        </is>
      </c>
      <c r="C351" t="inlineStr">
        <is>
          <t>2026-09</t>
        </is>
      </c>
      <c r="D351" s="2" t="n">
        <v>44.634</v>
      </c>
      <c r="E351" s="2" t="n">
        <v>60</v>
      </c>
      <c r="F351" s="2" t="n">
        <v>44</v>
      </c>
      <c r="G351" s="2" t="n">
        <v>54.874</v>
      </c>
      <c r="H351">
        <f>ISNUMBER(F351)</f>
        <v/>
      </c>
      <c r="I351" s="2">
        <f>E351-D351</f>
        <v/>
      </c>
      <c r="J351" s="2">
        <f>IF(ISNUMBER(F351),F351-D351,"")</f>
        <v/>
      </c>
      <c r="K351" s="2">
        <f>G351-D351</f>
        <v/>
      </c>
      <c r="L351" s="2">
        <f>ABS(I351)</f>
        <v/>
      </c>
      <c r="M351" s="2">
        <f>IF(ISNUMBER(F351),ABS(F351-D351),"")</f>
        <v/>
      </c>
      <c r="N351" s="2">
        <f>ABS(K351)</f>
        <v/>
      </c>
      <c r="O351" s="3">
        <f>IF(D351=0,"",(E351-D351)/D351)</f>
        <v/>
      </c>
      <c r="P351" s="3">
        <f>IF(ISNUMBER(F351),IF(D351=0,"",(F351-D351)/D351),"")</f>
        <v/>
      </c>
      <c r="Q351" s="3">
        <f>IF(D351=0,"",(G351-D351)/D351)</f>
        <v/>
      </c>
    </row>
    <row r="352">
      <c r="A352" t="inlineStr">
        <is>
          <t>TSL/01/100gsm/1800mm</t>
        </is>
      </c>
      <c r="B352" t="inlineStr">
        <is>
          <t>SPAL</t>
        </is>
      </c>
      <c r="C352" t="inlineStr">
        <is>
          <t>2026-09</t>
        </is>
      </c>
      <c r="D352" s="2" t="n">
        <v>78.69199999999999</v>
      </c>
      <c r="E352" s="2" t="n">
        <v>95</v>
      </c>
      <c r="F352" s="2" t="n">
        <v>44</v>
      </c>
      <c r="G352" s="2" t="n">
        <v>81.297</v>
      </c>
      <c r="H352">
        <f>ISNUMBER(F352)</f>
        <v/>
      </c>
      <c r="I352" s="2">
        <f>E352-D352</f>
        <v/>
      </c>
      <c r="J352" s="2">
        <f>IF(ISNUMBER(F352),F352-D352,"")</f>
        <v/>
      </c>
      <c r="K352" s="2">
        <f>G352-D352</f>
        <v/>
      </c>
      <c r="L352" s="2">
        <f>ABS(I352)</f>
        <v/>
      </c>
      <c r="M352" s="2">
        <f>IF(ISNUMBER(F352),ABS(F352-D352),"")</f>
        <v/>
      </c>
      <c r="N352" s="2">
        <f>ABS(K352)</f>
        <v/>
      </c>
      <c r="O352" s="3">
        <f>IF(D352=0,"",(E352-D352)/D352)</f>
        <v/>
      </c>
      <c r="P352" s="3">
        <f>IF(ISNUMBER(F352),IF(D352=0,"",(F352-D352)/D352),"")</f>
        <v/>
      </c>
      <c r="Q352" s="3">
        <f>IF(D352=0,"",(G352-D352)/D352)</f>
        <v/>
      </c>
    </row>
    <row r="353">
      <c r="A353" t="inlineStr">
        <is>
          <t>TSL/01/100gsm/2000mm</t>
        </is>
      </c>
      <c r="B353" t="inlineStr">
        <is>
          <t>SPAL</t>
        </is>
      </c>
      <c r="C353" t="inlineStr">
        <is>
          <t>2026-09</t>
        </is>
      </c>
      <c r="D353" s="2" t="n">
        <v>55.722</v>
      </c>
      <c r="E353" s="2" t="n">
        <v>27</v>
      </c>
      <c r="F353" s="2" t="n">
        <v>41</v>
      </c>
      <c r="G353" s="2" t="n">
        <v>45.194</v>
      </c>
      <c r="H353">
        <f>ISNUMBER(F353)</f>
        <v/>
      </c>
      <c r="I353" s="2">
        <f>E353-D353</f>
        <v/>
      </c>
      <c r="J353" s="2">
        <f>IF(ISNUMBER(F353),F353-D353,"")</f>
        <v/>
      </c>
      <c r="K353" s="2">
        <f>G353-D353</f>
        <v/>
      </c>
      <c r="L353" s="2">
        <f>ABS(I353)</f>
        <v/>
      </c>
      <c r="M353" s="2">
        <f>IF(ISNUMBER(F353),ABS(F353-D353),"")</f>
        <v/>
      </c>
      <c r="N353" s="2">
        <f>ABS(K353)</f>
        <v/>
      </c>
      <c r="O353" s="3">
        <f>IF(D353=0,"",(E353-D353)/D353)</f>
        <v/>
      </c>
      <c r="P353" s="3">
        <f>IF(ISNUMBER(F353),IF(D353=0,"",(F353-D353)/D353),"")</f>
        <v/>
      </c>
      <c r="Q353" s="3">
        <f>IF(D353=0,"",(G353-D353)/D353)</f>
        <v/>
      </c>
    </row>
    <row r="354">
      <c r="A354" t="inlineStr">
        <is>
          <t>TSL/01/100gsm/2100mm</t>
        </is>
      </c>
      <c r="B354" t="inlineStr">
        <is>
          <t>SPAL</t>
        </is>
      </c>
      <c r="C354" t="inlineStr">
        <is>
          <t>2026-09</t>
        </is>
      </c>
      <c r="D354" s="2" t="n">
        <v>74.569</v>
      </c>
      <c r="E354" s="2" t="n">
        <v>90</v>
      </c>
      <c r="F354" s="2" t="n">
        <v>44</v>
      </c>
      <c r="G354" s="2" t="n">
        <v>73.88800000000001</v>
      </c>
      <c r="H354">
        <f>ISNUMBER(F354)</f>
        <v/>
      </c>
      <c r="I354" s="2">
        <f>E354-D354</f>
        <v/>
      </c>
      <c r="J354" s="2">
        <f>IF(ISNUMBER(F354),F354-D354,"")</f>
        <v/>
      </c>
      <c r="K354" s="2">
        <f>G354-D354</f>
        <v/>
      </c>
      <c r="L354" s="2">
        <f>ABS(I354)</f>
        <v/>
      </c>
      <c r="M354" s="2">
        <f>IF(ISNUMBER(F354),ABS(F354-D354),"")</f>
        <v/>
      </c>
      <c r="N354" s="2">
        <f>ABS(K354)</f>
        <v/>
      </c>
      <c r="O354" s="3">
        <f>IF(D354=0,"",(E354-D354)/D354)</f>
        <v/>
      </c>
      <c r="P354" s="3">
        <f>IF(ISNUMBER(F354),IF(D354=0,"",(F354-D354)/D354),"")</f>
        <v/>
      </c>
      <c r="Q354" s="3">
        <f>IF(D354=0,"",(G354-D354)/D354)</f>
        <v/>
      </c>
    </row>
    <row r="355">
      <c r="A355" t="inlineStr">
        <is>
          <t>TSL/01/100gsm/2300mm</t>
        </is>
      </c>
      <c r="B355" t="inlineStr">
        <is>
          <t>SPAL</t>
        </is>
      </c>
      <c r="C355" t="inlineStr">
        <is>
          <t>2026-09</t>
        </is>
      </c>
      <c r="D355" s="2" t="n">
        <v>115.99</v>
      </c>
      <c r="E355" s="2" t="n">
        <v>130</v>
      </c>
      <c r="F355" s="2" t="n">
        <v>84</v>
      </c>
      <c r="G355" s="2" t="n">
        <v>97.919</v>
      </c>
      <c r="H355">
        <f>ISNUMBER(F355)</f>
        <v/>
      </c>
      <c r="I355" s="2">
        <f>E355-D355</f>
        <v/>
      </c>
      <c r="J355" s="2">
        <f>IF(ISNUMBER(F355),F355-D355,"")</f>
        <v/>
      </c>
      <c r="K355" s="2">
        <f>G355-D355</f>
        <v/>
      </c>
      <c r="L355" s="2">
        <f>ABS(I355)</f>
        <v/>
      </c>
      <c r="M355" s="2">
        <f>IF(ISNUMBER(F355),ABS(F355-D355),"")</f>
        <v/>
      </c>
      <c r="N355" s="2">
        <f>ABS(K355)</f>
        <v/>
      </c>
      <c r="O355" s="3">
        <f>IF(D355=0,"",(E355-D355)/D355)</f>
        <v/>
      </c>
      <c r="P355" s="3">
        <f>IF(ISNUMBER(F355),IF(D355=0,"",(F355-D355)/D355),"")</f>
        <v/>
      </c>
      <c r="Q355" s="3">
        <f>IF(D355=0,"",(G355-D355)/D355)</f>
        <v/>
      </c>
    </row>
    <row r="356">
      <c r="A356" t="inlineStr">
        <is>
          <t>TSL/01/100gsm/2450mm</t>
        </is>
      </c>
      <c r="B356" t="inlineStr">
        <is>
          <t>SPAL</t>
        </is>
      </c>
      <c r="C356" t="inlineStr">
        <is>
          <t>2026-09</t>
        </is>
      </c>
      <c r="D356" s="2" t="n">
        <v>105.599</v>
      </c>
      <c r="E356" s="2" t="n">
        <v>100</v>
      </c>
      <c r="F356" s="2" t="n">
        <v>84</v>
      </c>
      <c r="G356" s="2" t="n">
        <v>100.39</v>
      </c>
      <c r="H356">
        <f>ISNUMBER(F356)</f>
        <v/>
      </c>
      <c r="I356" s="2">
        <f>E356-D356</f>
        <v/>
      </c>
      <c r="J356" s="2">
        <f>IF(ISNUMBER(F356),F356-D356,"")</f>
        <v/>
      </c>
      <c r="K356" s="2">
        <f>G356-D356</f>
        <v/>
      </c>
      <c r="L356" s="2">
        <f>ABS(I356)</f>
        <v/>
      </c>
      <c r="M356" s="2">
        <f>IF(ISNUMBER(F356),ABS(F356-D356),"")</f>
        <v/>
      </c>
      <c r="N356" s="2">
        <f>ABS(K356)</f>
        <v/>
      </c>
      <c r="O356" s="3">
        <f>IF(D356=0,"",(E356-D356)/D356)</f>
        <v/>
      </c>
      <c r="P356" s="3">
        <f>IF(ISNUMBER(F356),IF(D356=0,"",(F356-D356)/D356),"")</f>
        <v/>
      </c>
      <c r="Q356" s="3">
        <f>IF(D356=0,"",(G356-D356)/D356)</f>
        <v/>
      </c>
    </row>
    <row r="357">
      <c r="A357" t="inlineStr">
        <is>
          <t>TSL/01/125gsm/1800mm</t>
        </is>
      </c>
      <c r="B357" t="inlineStr">
        <is>
          <t>SPAL</t>
        </is>
      </c>
      <c r="C357" t="inlineStr">
        <is>
          <t>2026-09</t>
        </is>
      </c>
      <c r="D357" s="2" t="n">
        <v>51.344</v>
      </c>
      <c r="E357" s="2" t="n">
        <v>75</v>
      </c>
      <c r="F357" s="2" t="n">
        <v>15</v>
      </c>
      <c r="G357" s="2" t="n">
        <v>51.046</v>
      </c>
      <c r="H357">
        <f>ISNUMBER(F357)</f>
        <v/>
      </c>
      <c r="I357" s="2">
        <f>E357-D357</f>
        <v/>
      </c>
      <c r="J357" s="2">
        <f>IF(ISNUMBER(F357),F357-D357,"")</f>
        <v/>
      </c>
      <c r="K357" s="2">
        <f>G357-D357</f>
        <v/>
      </c>
      <c r="L357" s="2">
        <f>ABS(I357)</f>
        <v/>
      </c>
      <c r="M357" s="2">
        <f>IF(ISNUMBER(F357),ABS(F357-D357),"")</f>
        <v/>
      </c>
      <c r="N357" s="2">
        <f>ABS(K357)</f>
        <v/>
      </c>
      <c r="O357" s="3">
        <f>IF(D357=0,"",(E357-D357)/D357)</f>
        <v/>
      </c>
      <c r="P357" s="3">
        <f>IF(ISNUMBER(F357),IF(D357=0,"",(F357-D357)/D357),"")</f>
        <v/>
      </c>
      <c r="Q357" s="3">
        <f>IF(D357=0,"",(G357-D357)/D357)</f>
        <v/>
      </c>
    </row>
    <row r="358">
      <c r="A358" t="inlineStr">
        <is>
          <t>TSL/01/125gsm/2000mm</t>
        </is>
      </c>
      <c r="B358" t="inlineStr">
        <is>
          <t>SPAL</t>
        </is>
      </c>
      <c r="C358" t="inlineStr">
        <is>
          <t>2026-09</t>
        </is>
      </c>
      <c r="D358" s="2" t="n">
        <v>134.586</v>
      </c>
      <c r="E358" s="2" t="n">
        <v>60</v>
      </c>
      <c r="F358" s="2" t="n">
        <v>30</v>
      </c>
      <c r="G358" s="2" t="n">
        <v>58.378</v>
      </c>
      <c r="H358">
        <f>ISNUMBER(F358)</f>
        <v/>
      </c>
      <c r="I358" s="2">
        <f>E358-D358</f>
        <v/>
      </c>
      <c r="J358" s="2">
        <f>IF(ISNUMBER(F358),F358-D358,"")</f>
        <v/>
      </c>
      <c r="K358" s="2">
        <f>G358-D358</f>
        <v/>
      </c>
      <c r="L358" s="2">
        <f>ABS(I358)</f>
        <v/>
      </c>
      <c r="M358" s="2">
        <f>IF(ISNUMBER(F358),ABS(F358-D358),"")</f>
        <v/>
      </c>
      <c r="N358" s="2">
        <f>ABS(K358)</f>
        <v/>
      </c>
      <c r="O358" s="3">
        <f>IF(D358=0,"",(E358-D358)/D358)</f>
        <v/>
      </c>
      <c r="P358" s="3">
        <f>IF(ISNUMBER(F358),IF(D358=0,"",(F358-D358)/D358),"")</f>
        <v/>
      </c>
      <c r="Q358" s="3">
        <f>IF(D358=0,"",(G358-D358)/D358)</f>
        <v/>
      </c>
    </row>
    <row r="359">
      <c r="A359" t="inlineStr">
        <is>
          <t>TSL/01/125gsm/2100mm</t>
        </is>
      </c>
      <c r="B359" t="inlineStr">
        <is>
          <t>SPAL</t>
        </is>
      </c>
      <c r="C359" t="inlineStr">
        <is>
          <t>2026-09</t>
        </is>
      </c>
      <c r="D359" s="2" t="n">
        <v>78.871</v>
      </c>
      <c r="E359" s="2" t="n">
        <v>80</v>
      </c>
      <c r="F359" s="2" t="n">
        <v>27</v>
      </c>
      <c r="G359" s="2" t="n">
        <v>96.479</v>
      </c>
      <c r="H359">
        <f>ISNUMBER(F359)</f>
        <v/>
      </c>
      <c r="I359" s="2">
        <f>E359-D359</f>
        <v/>
      </c>
      <c r="J359" s="2">
        <f>IF(ISNUMBER(F359),F359-D359,"")</f>
        <v/>
      </c>
      <c r="K359" s="2">
        <f>G359-D359</f>
        <v/>
      </c>
      <c r="L359" s="2">
        <f>ABS(I359)</f>
        <v/>
      </c>
      <c r="M359" s="2">
        <f>IF(ISNUMBER(F359),ABS(F359-D359),"")</f>
        <v/>
      </c>
      <c r="N359" s="2">
        <f>ABS(K359)</f>
        <v/>
      </c>
      <c r="O359" s="3">
        <f>IF(D359=0,"",(E359-D359)/D359)</f>
        <v/>
      </c>
      <c r="P359" s="3">
        <f>IF(ISNUMBER(F359),IF(D359=0,"",(F359-D359)/D359),"")</f>
        <v/>
      </c>
      <c r="Q359" s="3">
        <f>IF(D359=0,"",(G359-D359)/D359)</f>
        <v/>
      </c>
    </row>
    <row r="360">
      <c r="A360" t="inlineStr">
        <is>
          <t>TSL/01/125gsm/2300mm</t>
        </is>
      </c>
      <c r="B360" t="inlineStr">
        <is>
          <t>SPAL</t>
        </is>
      </c>
      <c r="C360" t="inlineStr">
        <is>
          <t>2026-09</t>
        </is>
      </c>
      <c r="D360" s="2" t="n">
        <v>124.554</v>
      </c>
      <c r="E360" s="2" t="n">
        <v>150</v>
      </c>
      <c r="F360" s="2" t="n">
        <v>46</v>
      </c>
      <c r="G360" s="2" t="n">
        <v>115.645</v>
      </c>
      <c r="H360">
        <f>ISNUMBER(F360)</f>
        <v/>
      </c>
      <c r="I360" s="2">
        <f>E360-D360</f>
        <v/>
      </c>
      <c r="J360" s="2">
        <f>IF(ISNUMBER(F360),F360-D360,"")</f>
        <v/>
      </c>
      <c r="K360" s="2">
        <f>G360-D360</f>
        <v/>
      </c>
      <c r="L360" s="2">
        <f>ABS(I360)</f>
        <v/>
      </c>
      <c r="M360" s="2">
        <f>IF(ISNUMBER(F360),ABS(F360-D360),"")</f>
        <v/>
      </c>
      <c r="N360" s="2">
        <f>ABS(K360)</f>
        <v/>
      </c>
      <c r="O360" s="3">
        <f>IF(D360=0,"",(E360-D360)/D360)</f>
        <v/>
      </c>
      <c r="P360" s="3">
        <f>IF(ISNUMBER(F360),IF(D360=0,"",(F360-D360)/D360),"")</f>
        <v/>
      </c>
      <c r="Q360" s="3">
        <f>IF(D360=0,"",(G360-D360)/D360)</f>
        <v/>
      </c>
    </row>
    <row r="361">
      <c r="A361" t="inlineStr">
        <is>
          <t>TSL/01/125gsm/2450mm</t>
        </is>
      </c>
      <c r="B361" t="inlineStr">
        <is>
          <t>SPAL</t>
        </is>
      </c>
      <c r="C361" t="inlineStr">
        <is>
          <t>2026-09</t>
        </is>
      </c>
      <c r="D361" s="2" t="n">
        <v>81.401</v>
      </c>
      <c r="E361" s="2" t="n">
        <v>100</v>
      </c>
      <c r="F361" s="2" t="n">
        <v>34</v>
      </c>
      <c r="G361" s="2" t="n">
        <v>119.376</v>
      </c>
      <c r="H361">
        <f>ISNUMBER(F361)</f>
        <v/>
      </c>
      <c r="I361" s="2">
        <f>E361-D361</f>
        <v/>
      </c>
      <c r="J361" s="2">
        <f>IF(ISNUMBER(F361),F361-D361,"")</f>
        <v/>
      </c>
      <c r="K361" s="2">
        <f>G361-D361</f>
        <v/>
      </c>
      <c r="L361" s="2">
        <f>ABS(I361)</f>
        <v/>
      </c>
      <c r="M361" s="2">
        <f>IF(ISNUMBER(F361),ABS(F361-D361),"")</f>
        <v/>
      </c>
      <c r="N361" s="2">
        <f>ABS(K361)</f>
        <v/>
      </c>
      <c r="O361" s="3">
        <f>IF(D361=0,"",(E361-D361)/D361)</f>
        <v/>
      </c>
      <c r="P361" s="3">
        <f>IF(ISNUMBER(F361),IF(D361=0,"",(F361-D361)/D361),"")</f>
        <v/>
      </c>
      <c r="Q361" s="3">
        <f>IF(D361=0,"",(G361-D361)/D361)</f>
        <v/>
      </c>
    </row>
    <row r="362">
      <c r="A362" t="inlineStr">
        <is>
          <t>TSL/01/80gsm/2000mm</t>
        </is>
      </c>
      <c r="B362" t="inlineStr">
        <is>
          <t>SPAL</t>
        </is>
      </c>
      <c r="C362" t="inlineStr">
        <is>
          <t>2026-09</t>
        </is>
      </c>
      <c r="D362" s="2" t="n">
        <v>19.055</v>
      </c>
      <c r="E362" s="2" t="n">
        <v>15</v>
      </c>
      <c r="F362" s="2" t="n">
        <v>21</v>
      </c>
      <c r="G362" s="2" t="n">
        <v>21.971</v>
      </c>
      <c r="H362">
        <f>ISNUMBER(F362)</f>
        <v/>
      </c>
      <c r="I362" s="2">
        <f>E362-D362</f>
        <v/>
      </c>
      <c r="J362" s="2">
        <f>IF(ISNUMBER(F362),F362-D362,"")</f>
        <v/>
      </c>
      <c r="K362" s="2">
        <f>G362-D362</f>
        <v/>
      </c>
      <c r="L362" s="2">
        <f>ABS(I362)</f>
        <v/>
      </c>
      <c r="M362" s="2">
        <f>IF(ISNUMBER(F362),ABS(F362-D362),"")</f>
        <v/>
      </c>
      <c r="N362" s="2">
        <f>ABS(K362)</f>
        <v/>
      </c>
      <c r="O362" s="3">
        <f>IF(D362=0,"",(E362-D362)/D362)</f>
        <v/>
      </c>
      <c r="P362" s="3">
        <f>IF(ISNUMBER(F362),IF(D362=0,"",(F362-D362)/D362),"")</f>
        <v/>
      </c>
      <c r="Q362" s="3">
        <f>IF(D362=0,"",(G362-D362)/D362)</f>
        <v/>
      </c>
    </row>
    <row r="363">
      <c r="A363" t="inlineStr">
        <is>
          <t>TWTC2/51/115gsm/1800mm</t>
        </is>
      </c>
      <c r="B363" t="inlineStr">
        <is>
          <t>SPAL</t>
        </is>
      </c>
      <c r="C363" t="inlineStr">
        <is>
          <t>2026-09</t>
        </is>
      </c>
      <c r="D363" s="2" t="n">
        <v>43.01</v>
      </c>
      <c r="E363" s="2" t="n">
        <v>24</v>
      </c>
      <c r="F363" s="2" t="n">
        <v>41</v>
      </c>
      <c r="G363" s="2" t="n">
        <v>38.691</v>
      </c>
      <c r="H363">
        <f>ISNUMBER(F363)</f>
        <v/>
      </c>
      <c r="I363" s="2">
        <f>E363-D363</f>
        <v/>
      </c>
      <c r="J363" s="2">
        <f>IF(ISNUMBER(F363),F363-D363,"")</f>
        <v/>
      </c>
      <c r="K363" s="2">
        <f>G363-D363</f>
        <v/>
      </c>
      <c r="L363" s="2">
        <f>ABS(I363)</f>
        <v/>
      </c>
      <c r="M363" s="2">
        <f>IF(ISNUMBER(F363),ABS(F363-D363),"")</f>
        <v/>
      </c>
      <c r="N363" s="2">
        <f>ABS(K363)</f>
        <v/>
      </c>
      <c r="O363" s="3">
        <f>IF(D363=0,"",(E363-D363)/D363)</f>
        <v/>
      </c>
      <c r="P363" s="3">
        <f>IF(ISNUMBER(F363),IF(D363=0,"",(F363-D363)/D363),"")</f>
        <v/>
      </c>
      <c r="Q363" s="3">
        <f>IF(D363=0,"",(G363-D363)/D363)</f>
        <v/>
      </c>
    </row>
    <row r="364">
      <c r="A364" t="inlineStr">
        <is>
          <t>TWTC2/51/115gsm/2100mm</t>
        </is>
      </c>
      <c r="B364" t="inlineStr">
        <is>
          <t>SPAL</t>
        </is>
      </c>
      <c r="C364" t="inlineStr">
        <is>
          <t>2026-09</t>
        </is>
      </c>
      <c r="D364" s="2" t="n">
        <v>30.412</v>
      </c>
      <c r="E364" s="2" t="n">
        <v>25</v>
      </c>
      <c r="F364" s="2" t="n">
        <v>33</v>
      </c>
      <c r="G364" s="2" t="n">
        <v>27.584</v>
      </c>
      <c r="H364">
        <f>ISNUMBER(F364)</f>
        <v/>
      </c>
      <c r="I364" s="2">
        <f>E364-D364</f>
        <v/>
      </c>
      <c r="J364" s="2">
        <f>IF(ISNUMBER(F364),F364-D364,"")</f>
        <v/>
      </c>
      <c r="K364" s="2">
        <f>G364-D364</f>
        <v/>
      </c>
      <c r="L364" s="2">
        <f>ABS(I364)</f>
        <v/>
      </c>
      <c r="M364" s="2">
        <f>IF(ISNUMBER(F364),ABS(F364-D364),"")</f>
        <v/>
      </c>
      <c r="N364" s="2">
        <f>ABS(K364)</f>
        <v/>
      </c>
      <c r="O364" s="3">
        <f>IF(D364=0,"",(E364-D364)/D364)</f>
        <v/>
      </c>
      <c r="P364" s="3">
        <f>IF(ISNUMBER(F364),IF(D364=0,"",(F364-D364)/D364),"")</f>
        <v/>
      </c>
      <c r="Q364" s="3">
        <f>IF(D364=0,"",(G364-D364)/D364)</f>
        <v/>
      </c>
    </row>
    <row r="365">
      <c r="A365" t="inlineStr">
        <is>
          <t>TWTC2/51/115gsm/2300mm</t>
        </is>
      </c>
      <c r="B365" t="inlineStr">
        <is>
          <t>SPAL</t>
        </is>
      </c>
      <c r="C365" t="inlineStr">
        <is>
          <t>2026-09</t>
        </is>
      </c>
      <c r="D365" s="2" t="n">
        <v>36.76</v>
      </c>
      <c r="E365" s="2" t="n">
        <v>40</v>
      </c>
      <c r="F365" s="2" t="n">
        <v>52</v>
      </c>
      <c r="G365" s="2" t="n">
        <v>29.394</v>
      </c>
      <c r="H365">
        <f>ISNUMBER(F365)</f>
        <v/>
      </c>
      <c r="I365" s="2">
        <f>E365-D365</f>
        <v/>
      </c>
      <c r="J365" s="2">
        <f>IF(ISNUMBER(F365),F365-D365,"")</f>
        <v/>
      </c>
      <c r="K365" s="2">
        <f>G365-D365</f>
        <v/>
      </c>
      <c r="L365" s="2">
        <f>ABS(I365)</f>
        <v/>
      </c>
      <c r="M365" s="2">
        <f>IF(ISNUMBER(F365),ABS(F365-D365),"")</f>
        <v/>
      </c>
      <c r="N365" s="2">
        <f>ABS(K365)</f>
        <v/>
      </c>
      <c r="O365" s="3">
        <f>IF(D365=0,"",(E365-D365)/D365)</f>
        <v/>
      </c>
      <c r="P365" s="3">
        <f>IF(ISNUMBER(F365),IF(D365=0,"",(F365-D365)/D365),"")</f>
        <v/>
      </c>
      <c r="Q365" s="3">
        <f>IF(D365=0,"",(G365-D365)/D365)</f>
        <v/>
      </c>
    </row>
    <row r="366">
      <c r="A366" t="inlineStr">
        <is>
          <t>TWTC2/51/115gsm/2450mm</t>
        </is>
      </c>
      <c r="B366" t="inlineStr">
        <is>
          <t>SPAL</t>
        </is>
      </c>
      <c r="C366" t="inlineStr">
        <is>
          <t>2026-09</t>
        </is>
      </c>
      <c r="D366" s="2" t="n">
        <v>39.088</v>
      </c>
      <c r="E366" s="2" t="n">
        <v>45</v>
      </c>
      <c r="F366" s="2" t="n">
        <v>43</v>
      </c>
      <c r="G366" s="2" t="n">
        <v>31.99</v>
      </c>
      <c r="H366">
        <f>ISNUMBER(F366)</f>
        <v/>
      </c>
      <c r="I366" s="2">
        <f>E366-D366</f>
        <v/>
      </c>
      <c r="J366" s="2">
        <f>IF(ISNUMBER(F366),F366-D366,"")</f>
        <v/>
      </c>
      <c r="K366" s="2">
        <f>G366-D366</f>
        <v/>
      </c>
      <c r="L366" s="2">
        <f>ABS(I366)</f>
        <v/>
      </c>
      <c r="M366" s="2">
        <f>IF(ISNUMBER(F366),ABS(F366-D366),"")</f>
        <v/>
      </c>
      <c r="N366" s="2">
        <f>ABS(K366)</f>
        <v/>
      </c>
      <c r="O366" s="3">
        <f>IF(D366=0,"",(E366-D366)/D366)</f>
        <v/>
      </c>
      <c r="P366" s="3">
        <f>IF(ISNUMBER(F366),IF(D366=0,"",(F366-D366)/D366),"")</f>
        <v/>
      </c>
      <c r="Q366" s="3">
        <f>IF(D366=0,"",(G366-D366)/D366)</f>
        <v/>
      </c>
    </row>
    <row r="367">
      <c r="A367" t="inlineStr">
        <is>
          <t>HP2/01/105gsm/2190mm</t>
        </is>
      </c>
      <c r="B367" t="inlineStr">
        <is>
          <t>SQUA</t>
        </is>
      </c>
      <c r="C367" t="inlineStr">
        <is>
          <t>2026-09</t>
        </is>
      </c>
      <c r="D367" s="2" t="n">
        <v>46.6</v>
      </c>
      <c r="E367" s="2" t="n">
        <v>65</v>
      </c>
      <c r="F367" s="2" t="n">
        <v>43</v>
      </c>
      <c r="G367" s="2" t="n">
        <v>55.638</v>
      </c>
      <c r="H367">
        <f>ISNUMBER(F367)</f>
        <v/>
      </c>
      <c r="I367" s="2">
        <f>E367-D367</f>
        <v/>
      </c>
      <c r="J367" s="2">
        <f>IF(ISNUMBER(F367),F367-D367,"")</f>
        <v/>
      </c>
      <c r="K367" s="2">
        <f>G367-D367</f>
        <v/>
      </c>
      <c r="L367" s="2">
        <f>ABS(I367)</f>
        <v/>
      </c>
      <c r="M367" s="2">
        <f>IF(ISNUMBER(F367),ABS(F367-D367),"")</f>
        <v/>
      </c>
      <c r="N367" s="2">
        <f>ABS(K367)</f>
        <v/>
      </c>
      <c r="O367" s="3">
        <f>IF(D367=0,"",(E367-D367)/D367)</f>
        <v/>
      </c>
      <c r="P367" s="3">
        <f>IF(ISNUMBER(F367),IF(D367=0,"",(F367-D367)/D367),"")</f>
        <v/>
      </c>
      <c r="Q367" s="3">
        <f>IF(D367=0,"",(G367-D367)/D367)</f>
        <v/>
      </c>
    </row>
    <row r="368">
      <c r="A368" t="inlineStr">
        <is>
          <t>HP2/01/105gsm/2440mm</t>
        </is>
      </c>
      <c r="B368" t="inlineStr">
        <is>
          <t>SQUA</t>
        </is>
      </c>
      <c r="C368" t="inlineStr">
        <is>
          <t>2026-09</t>
        </is>
      </c>
      <c r="D368" s="2" t="n">
        <v>19.142</v>
      </c>
      <c r="E368" s="2" t="n">
        <v>35</v>
      </c>
      <c r="F368" s="2" t="n">
        <v>37</v>
      </c>
      <c r="G368" s="2" t="n">
        <v>46.833</v>
      </c>
      <c r="H368">
        <f>ISNUMBER(F368)</f>
        <v/>
      </c>
      <c r="I368" s="2">
        <f>E368-D368</f>
        <v/>
      </c>
      <c r="J368" s="2">
        <f>IF(ISNUMBER(F368),F368-D368,"")</f>
        <v/>
      </c>
      <c r="K368" s="2">
        <f>G368-D368</f>
        <v/>
      </c>
      <c r="L368" s="2">
        <f>ABS(I368)</f>
        <v/>
      </c>
      <c r="M368" s="2">
        <f>IF(ISNUMBER(F368),ABS(F368-D368),"")</f>
        <v/>
      </c>
      <c r="N368" s="2">
        <f>ABS(K368)</f>
        <v/>
      </c>
      <c r="O368" s="3">
        <f>IF(D368=0,"",(E368-D368)/D368)</f>
        <v/>
      </c>
      <c r="P368" s="3">
        <f>IF(ISNUMBER(F368),IF(D368=0,"",(F368-D368)/D368),"")</f>
        <v/>
      </c>
      <c r="Q368" s="3">
        <f>IF(D368=0,"",(G368-D368)/D368)</f>
        <v/>
      </c>
    </row>
    <row r="369">
      <c r="A369" t="inlineStr">
        <is>
          <t>HP2/01/115gsm/1990mm</t>
        </is>
      </c>
      <c r="B369" t="inlineStr">
        <is>
          <t>SQUA</t>
        </is>
      </c>
      <c r="C369" t="inlineStr">
        <is>
          <t>2026-09</t>
        </is>
      </c>
      <c r="D369" s="2" t="n">
        <v>27.766</v>
      </c>
      <c r="E369" s="2" t="n">
        <v>30</v>
      </c>
      <c r="F369" s="2" t="n">
        <v>33</v>
      </c>
      <c r="G369" s="2" t="n">
        <v>30.86</v>
      </c>
      <c r="H369">
        <f>ISNUMBER(F369)</f>
        <v/>
      </c>
      <c r="I369" s="2">
        <f>E369-D369</f>
        <v/>
      </c>
      <c r="J369" s="2">
        <f>IF(ISNUMBER(F369),F369-D369,"")</f>
        <v/>
      </c>
      <c r="K369" s="2">
        <f>G369-D369</f>
        <v/>
      </c>
      <c r="L369" s="2">
        <f>ABS(I369)</f>
        <v/>
      </c>
      <c r="M369" s="2">
        <f>IF(ISNUMBER(F369),ABS(F369-D369),"")</f>
        <v/>
      </c>
      <c r="N369" s="2">
        <f>ABS(K369)</f>
        <v/>
      </c>
      <c r="O369" s="3">
        <f>IF(D369=0,"",(E369-D369)/D369)</f>
        <v/>
      </c>
      <c r="P369" s="3">
        <f>IF(ISNUMBER(F369),IF(D369=0,"",(F369-D369)/D369),"")</f>
        <v/>
      </c>
      <c r="Q369" s="3">
        <f>IF(D369=0,"",(G369-D369)/D369)</f>
        <v/>
      </c>
    </row>
    <row r="370">
      <c r="A370" t="inlineStr">
        <is>
          <t>HP2/01/115gsm/2190mm</t>
        </is>
      </c>
      <c r="B370" t="inlineStr">
        <is>
          <t>SQUA</t>
        </is>
      </c>
      <c r="C370" t="inlineStr">
        <is>
          <t>2026-09</t>
        </is>
      </c>
      <c r="D370" s="2" t="n">
        <v>25.613</v>
      </c>
      <c r="E370" s="2" t="n">
        <v>25</v>
      </c>
      <c r="F370" s="2" t="n">
        <v>59</v>
      </c>
      <c r="G370" s="2" t="n">
        <v>26.127</v>
      </c>
      <c r="H370">
        <f>ISNUMBER(F370)</f>
        <v/>
      </c>
      <c r="I370" s="2">
        <f>E370-D370</f>
        <v/>
      </c>
      <c r="J370" s="2">
        <f>IF(ISNUMBER(F370),F370-D370,"")</f>
        <v/>
      </c>
      <c r="K370" s="2">
        <f>G370-D370</f>
        <v/>
      </c>
      <c r="L370" s="2">
        <f>ABS(I370)</f>
        <v/>
      </c>
      <c r="M370" s="2">
        <f>IF(ISNUMBER(F370),ABS(F370-D370),"")</f>
        <v/>
      </c>
      <c r="N370" s="2">
        <f>ABS(K370)</f>
        <v/>
      </c>
      <c r="O370" s="3">
        <f>IF(D370=0,"",(E370-D370)/D370)</f>
        <v/>
      </c>
      <c r="P370" s="3">
        <f>IF(ISNUMBER(F370),IF(D370=0,"",(F370-D370)/D370),"")</f>
        <v/>
      </c>
      <c r="Q370" s="3">
        <f>IF(D370=0,"",(G370-D370)/D370)</f>
        <v/>
      </c>
    </row>
    <row r="371">
      <c r="A371" t="inlineStr">
        <is>
          <t>HP2/01/115gsm/2440mm</t>
        </is>
      </c>
      <c r="B371" t="inlineStr">
        <is>
          <t>SQUA</t>
        </is>
      </c>
      <c r="C371" t="inlineStr">
        <is>
          <t>2026-09</t>
        </is>
      </c>
      <c r="D371" s="2" t="n">
        <v>59.026</v>
      </c>
      <c r="E371" s="2" t="n">
        <v>85</v>
      </c>
      <c r="F371" s="2" t="n">
        <v>87</v>
      </c>
      <c r="G371" s="2" t="n">
        <v>70.19499999999999</v>
      </c>
      <c r="H371">
        <f>ISNUMBER(F371)</f>
        <v/>
      </c>
      <c r="I371" s="2">
        <f>E371-D371</f>
        <v/>
      </c>
      <c r="J371" s="2">
        <f>IF(ISNUMBER(F371),F371-D371,"")</f>
        <v/>
      </c>
      <c r="K371" s="2">
        <f>G371-D371</f>
        <v/>
      </c>
      <c r="L371" s="2">
        <f>ABS(I371)</f>
        <v/>
      </c>
      <c r="M371" s="2">
        <f>IF(ISNUMBER(F371),ABS(F371-D371),"")</f>
        <v/>
      </c>
      <c r="N371" s="2">
        <f>ABS(K371)</f>
        <v/>
      </c>
      <c r="O371" s="3">
        <f>IF(D371=0,"",(E371-D371)/D371)</f>
        <v/>
      </c>
      <c r="P371" s="3">
        <f>IF(ISNUMBER(F371),IF(D371=0,"",(F371-D371)/D371),"")</f>
        <v/>
      </c>
      <c r="Q371" s="3">
        <f>IF(D371=0,"",(G371-D371)/D371)</f>
        <v/>
      </c>
    </row>
    <row r="372">
      <c r="A372" t="inlineStr">
        <is>
          <t>HP2/01/115gsm/2640mm</t>
        </is>
      </c>
      <c r="B372" t="inlineStr">
        <is>
          <t>SQUA</t>
        </is>
      </c>
      <c r="C372" t="inlineStr">
        <is>
          <t>2026-09</t>
        </is>
      </c>
      <c r="D372" s="2" t="n">
        <v>66.876</v>
      </c>
      <c r="E372" s="2" t="n">
        <v>65</v>
      </c>
      <c r="F372" s="2" t="n">
        <v>59</v>
      </c>
      <c r="G372" s="2" t="n">
        <v>55.461</v>
      </c>
      <c r="H372">
        <f>ISNUMBER(F372)</f>
        <v/>
      </c>
      <c r="I372" s="2">
        <f>E372-D372</f>
        <v/>
      </c>
      <c r="J372" s="2">
        <f>IF(ISNUMBER(F372),F372-D372,"")</f>
        <v/>
      </c>
      <c r="K372" s="2">
        <f>G372-D372</f>
        <v/>
      </c>
      <c r="L372" s="2">
        <f>ABS(I372)</f>
        <v/>
      </c>
      <c r="M372" s="2">
        <f>IF(ISNUMBER(F372),ABS(F372-D372),"")</f>
        <v/>
      </c>
      <c r="N372" s="2">
        <f>ABS(K372)</f>
        <v/>
      </c>
      <c r="O372" s="3">
        <f>IF(D372=0,"",(E372-D372)/D372)</f>
        <v/>
      </c>
      <c r="P372" s="3">
        <f>IF(ISNUMBER(F372),IF(D372=0,"",(F372-D372)/D372),"")</f>
        <v/>
      </c>
      <c r="Q372" s="3">
        <f>IF(D372=0,"",(G372-D372)/D372)</f>
        <v/>
      </c>
    </row>
    <row r="373">
      <c r="A373" t="inlineStr">
        <is>
          <t>HP2/01/115gsm/2790mm</t>
        </is>
      </c>
      <c r="B373" t="inlineStr">
        <is>
          <t>SQUA</t>
        </is>
      </c>
      <c r="C373" t="inlineStr">
        <is>
          <t>2026-09</t>
        </is>
      </c>
      <c r="D373" s="2" t="n">
        <v>166.81</v>
      </c>
      <c r="E373" s="2" t="n">
        <v>160</v>
      </c>
      <c r="F373" s="2" t="n">
        <v>138</v>
      </c>
      <c r="G373" s="2" t="n">
        <v>160.49</v>
      </c>
      <c r="H373">
        <f>ISNUMBER(F373)</f>
        <v/>
      </c>
      <c r="I373" s="2">
        <f>E373-D373</f>
        <v/>
      </c>
      <c r="J373" s="2">
        <f>IF(ISNUMBER(F373),F373-D373,"")</f>
        <v/>
      </c>
      <c r="K373" s="2">
        <f>G373-D373</f>
        <v/>
      </c>
      <c r="L373" s="2">
        <f>ABS(I373)</f>
        <v/>
      </c>
      <c r="M373" s="2">
        <f>IF(ISNUMBER(F373),ABS(F373-D373),"")</f>
        <v/>
      </c>
      <c r="N373" s="2">
        <f>ABS(K373)</f>
        <v/>
      </c>
      <c r="O373" s="3">
        <f>IF(D373=0,"",(E373-D373)/D373)</f>
        <v/>
      </c>
      <c r="P373" s="3">
        <f>IF(ISNUMBER(F373),IF(D373=0,"",(F373-D373)/D373),"")</f>
        <v/>
      </c>
      <c r="Q373" s="3">
        <f>IF(D373=0,"",(G373-D373)/D373)</f>
        <v/>
      </c>
    </row>
    <row r="374">
      <c r="A374" t="inlineStr">
        <is>
          <t>HP2/01/125gsm/1990mm</t>
        </is>
      </c>
      <c r="B374" t="inlineStr">
        <is>
          <t>SQUA</t>
        </is>
      </c>
      <c r="C374" t="inlineStr">
        <is>
          <t>2026-09</t>
        </is>
      </c>
      <c r="D374" s="2" t="n">
        <v>58.038</v>
      </c>
      <c r="E374" s="2" t="n">
        <v>45</v>
      </c>
      <c r="F374" s="2" t="n">
        <v>77</v>
      </c>
      <c r="G374" s="2" t="n">
        <v>50.613</v>
      </c>
      <c r="H374">
        <f>ISNUMBER(F374)</f>
        <v/>
      </c>
      <c r="I374" s="2">
        <f>E374-D374</f>
        <v/>
      </c>
      <c r="J374" s="2">
        <f>IF(ISNUMBER(F374),F374-D374,"")</f>
        <v/>
      </c>
      <c r="K374" s="2">
        <f>G374-D374</f>
        <v/>
      </c>
      <c r="L374" s="2">
        <f>ABS(I374)</f>
        <v/>
      </c>
      <c r="M374" s="2">
        <f>IF(ISNUMBER(F374),ABS(F374-D374),"")</f>
        <v/>
      </c>
      <c r="N374" s="2">
        <f>ABS(K374)</f>
        <v/>
      </c>
      <c r="O374" s="3">
        <f>IF(D374=0,"",(E374-D374)/D374)</f>
        <v/>
      </c>
      <c r="P374" s="3">
        <f>IF(ISNUMBER(F374),IF(D374=0,"",(F374-D374)/D374),"")</f>
        <v/>
      </c>
      <c r="Q374" s="3">
        <f>IF(D374=0,"",(G374-D374)/D374)</f>
        <v/>
      </c>
    </row>
    <row r="375">
      <c r="A375" t="inlineStr">
        <is>
          <t>HP2/01/125gsm/2190mm</t>
        </is>
      </c>
      <c r="B375" t="inlineStr">
        <is>
          <t>SQUA</t>
        </is>
      </c>
      <c r="C375" t="inlineStr">
        <is>
          <t>2026-09</t>
        </is>
      </c>
      <c r="D375" s="2" t="n">
        <v>260.273</v>
      </c>
      <c r="E375" s="2" t="n">
        <v>250</v>
      </c>
      <c r="F375" s="2" t="n">
        <v>235</v>
      </c>
      <c r="G375" s="2" t="n">
        <v>243.904</v>
      </c>
      <c r="H375">
        <f>ISNUMBER(F375)</f>
        <v/>
      </c>
      <c r="I375" s="2">
        <f>E375-D375</f>
        <v/>
      </c>
      <c r="J375" s="2">
        <f>IF(ISNUMBER(F375),F375-D375,"")</f>
        <v/>
      </c>
      <c r="K375" s="2">
        <f>G375-D375</f>
        <v/>
      </c>
      <c r="L375" s="2">
        <f>ABS(I375)</f>
        <v/>
      </c>
      <c r="M375" s="2">
        <f>IF(ISNUMBER(F375),ABS(F375-D375),"")</f>
        <v/>
      </c>
      <c r="N375" s="2">
        <f>ABS(K375)</f>
        <v/>
      </c>
      <c r="O375" s="3">
        <f>IF(D375=0,"",(E375-D375)/D375)</f>
        <v/>
      </c>
      <c r="P375" s="3">
        <f>IF(ISNUMBER(F375),IF(D375=0,"",(F375-D375)/D375),"")</f>
        <v/>
      </c>
      <c r="Q375" s="3">
        <f>IF(D375=0,"",(G375-D375)/D375)</f>
        <v/>
      </c>
    </row>
    <row r="376">
      <c r="A376" t="inlineStr">
        <is>
          <t>HP2/01/125gsm/2440mm</t>
        </is>
      </c>
      <c r="B376" t="inlineStr">
        <is>
          <t>SQUA</t>
        </is>
      </c>
      <c r="C376" t="inlineStr">
        <is>
          <t>2026-09</t>
        </is>
      </c>
      <c r="D376" s="2" t="n">
        <v>126.988</v>
      </c>
      <c r="E376" s="2" t="n">
        <v>160</v>
      </c>
      <c r="F376" s="2" t="n">
        <v>172</v>
      </c>
      <c r="G376" s="2" t="n">
        <v>152.053</v>
      </c>
      <c r="H376">
        <f>ISNUMBER(F376)</f>
        <v/>
      </c>
      <c r="I376" s="2">
        <f>E376-D376</f>
        <v/>
      </c>
      <c r="J376" s="2">
        <f>IF(ISNUMBER(F376),F376-D376,"")</f>
        <v/>
      </c>
      <c r="K376" s="2">
        <f>G376-D376</f>
        <v/>
      </c>
      <c r="L376" s="2">
        <f>ABS(I376)</f>
        <v/>
      </c>
      <c r="M376" s="2">
        <f>IF(ISNUMBER(F376),ABS(F376-D376),"")</f>
        <v/>
      </c>
      <c r="N376" s="2">
        <f>ABS(K376)</f>
        <v/>
      </c>
      <c r="O376" s="3">
        <f>IF(D376=0,"",(E376-D376)/D376)</f>
        <v/>
      </c>
      <c r="P376" s="3">
        <f>IF(ISNUMBER(F376),IF(D376=0,"",(F376-D376)/D376),"")</f>
        <v/>
      </c>
      <c r="Q376" s="3">
        <f>IF(D376=0,"",(G376-D376)/D376)</f>
        <v/>
      </c>
    </row>
    <row r="377">
      <c r="A377" t="inlineStr">
        <is>
          <t>HP2/01/127gsm/2640mm</t>
        </is>
      </c>
      <c r="B377" t="inlineStr">
        <is>
          <t>SQUA</t>
        </is>
      </c>
      <c r="C377" t="inlineStr">
        <is>
          <t>2026-09</t>
        </is>
      </c>
      <c r="D377" s="2" t="n">
        <v>35.005</v>
      </c>
      <c r="E377" s="2" t="n">
        <v>110</v>
      </c>
      <c r="F377" s="4" t="inlineStr">
        <is>
          <t>faltante</t>
        </is>
      </c>
      <c r="G377" s="2" t="n">
        <v>39.365</v>
      </c>
      <c r="H377">
        <f>ISNUMBER(F377)</f>
        <v/>
      </c>
      <c r="I377" s="2">
        <f>E377-D377</f>
        <v/>
      </c>
      <c r="J377" s="2">
        <f>IF(ISNUMBER(F377),F377-D377,"")</f>
        <v/>
      </c>
      <c r="K377" s="2">
        <f>G377-D377</f>
        <v/>
      </c>
      <c r="L377" s="2">
        <f>ABS(I377)</f>
        <v/>
      </c>
      <c r="M377" s="2">
        <f>IF(ISNUMBER(F377),ABS(F377-D377),"")</f>
        <v/>
      </c>
      <c r="N377" s="2">
        <f>ABS(K377)</f>
        <v/>
      </c>
      <c r="O377" s="3">
        <f>IF(D377=0,"",(E377-D377)/D377)</f>
        <v/>
      </c>
      <c r="P377" s="3">
        <f>IF(ISNUMBER(F377),IF(D377=0,"",(F377-D377)/D377),"")</f>
        <v/>
      </c>
      <c r="Q377" s="3">
        <f>IF(D377=0,"",(G377-D377)/D377)</f>
        <v/>
      </c>
    </row>
    <row r="378">
      <c r="A378" t="inlineStr">
        <is>
          <t>HP2/01/127gsm/2790mm</t>
        </is>
      </c>
      <c r="B378" t="inlineStr">
        <is>
          <t>SQUA</t>
        </is>
      </c>
      <c r="C378" t="inlineStr">
        <is>
          <t>2026-09</t>
        </is>
      </c>
      <c r="D378" s="2" t="n">
        <v>210.788</v>
      </c>
      <c r="E378" s="2" t="n">
        <v>270</v>
      </c>
      <c r="F378" s="4" t="inlineStr">
        <is>
          <t>faltante</t>
        </is>
      </c>
      <c r="G378" s="2" t="n">
        <v>91.684</v>
      </c>
      <c r="H378">
        <f>ISNUMBER(F378)</f>
        <v/>
      </c>
      <c r="I378" s="2">
        <f>E378-D378</f>
        <v/>
      </c>
      <c r="J378" s="2">
        <f>IF(ISNUMBER(F378),F378-D378,"")</f>
        <v/>
      </c>
      <c r="K378" s="2">
        <f>G378-D378</f>
        <v/>
      </c>
      <c r="L378" s="2">
        <f>ABS(I378)</f>
        <v/>
      </c>
      <c r="M378" s="2">
        <f>IF(ISNUMBER(F378),ABS(F378-D378),"")</f>
        <v/>
      </c>
      <c r="N378" s="2">
        <f>ABS(K378)</f>
        <v/>
      </c>
      <c r="O378" s="3">
        <f>IF(D378=0,"",(E378-D378)/D378)</f>
        <v/>
      </c>
      <c r="P378" s="3">
        <f>IF(ISNUMBER(F378),IF(D378=0,"",(F378-D378)/D378),"")</f>
        <v/>
      </c>
      <c r="Q378" s="3">
        <f>IF(D378=0,"",(G378-D378)/D378)</f>
        <v/>
      </c>
    </row>
    <row r="379">
      <c r="A379" t="inlineStr">
        <is>
          <t>HP2/01/155gsm/1990mm</t>
        </is>
      </c>
      <c r="B379" t="inlineStr">
        <is>
          <t>SQUA</t>
        </is>
      </c>
      <c r="C379" t="inlineStr">
        <is>
          <t>2026-09</t>
        </is>
      </c>
      <c r="D379" s="2" t="n">
        <v>172.624</v>
      </c>
      <c r="E379" s="2" t="n">
        <v>125</v>
      </c>
      <c r="F379" s="2" t="n">
        <v>115</v>
      </c>
      <c r="G379" s="2" t="n">
        <v>108.644</v>
      </c>
      <c r="H379">
        <f>ISNUMBER(F379)</f>
        <v/>
      </c>
      <c r="I379" s="2">
        <f>E379-D379</f>
        <v/>
      </c>
      <c r="J379" s="2">
        <f>IF(ISNUMBER(F379),F379-D379,"")</f>
        <v/>
      </c>
      <c r="K379" s="2">
        <f>G379-D379</f>
        <v/>
      </c>
      <c r="L379" s="2">
        <f>ABS(I379)</f>
        <v/>
      </c>
      <c r="M379" s="2">
        <f>IF(ISNUMBER(F379),ABS(F379-D379),"")</f>
        <v/>
      </c>
      <c r="N379" s="2">
        <f>ABS(K379)</f>
        <v/>
      </c>
      <c r="O379" s="3">
        <f>IF(D379=0,"",(E379-D379)/D379)</f>
        <v/>
      </c>
      <c r="P379" s="3">
        <f>IF(ISNUMBER(F379),IF(D379=0,"",(F379-D379)/D379),"")</f>
        <v/>
      </c>
      <c r="Q379" s="3">
        <f>IF(D379=0,"",(G379-D379)/D379)</f>
        <v/>
      </c>
    </row>
    <row r="380">
      <c r="A380" t="inlineStr">
        <is>
          <t>HP2/01/155gsm/2190mm</t>
        </is>
      </c>
      <c r="B380" t="inlineStr">
        <is>
          <t>SQUA</t>
        </is>
      </c>
      <c r="C380" t="inlineStr">
        <is>
          <t>2026-09</t>
        </is>
      </c>
      <c r="D380" s="2" t="n">
        <v>177.325</v>
      </c>
      <c r="E380" s="2" t="n">
        <v>175</v>
      </c>
      <c r="F380" s="2" t="n">
        <v>184</v>
      </c>
      <c r="G380" s="2" t="n">
        <v>181.163</v>
      </c>
      <c r="H380">
        <f>ISNUMBER(F380)</f>
        <v/>
      </c>
      <c r="I380" s="2">
        <f>E380-D380</f>
        <v/>
      </c>
      <c r="J380" s="2">
        <f>IF(ISNUMBER(F380),F380-D380,"")</f>
        <v/>
      </c>
      <c r="K380" s="2">
        <f>G380-D380</f>
        <v/>
      </c>
      <c r="L380" s="2">
        <f>ABS(I380)</f>
        <v/>
      </c>
      <c r="M380" s="2">
        <f>IF(ISNUMBER(F380),ABS(F380-D380),"")</f>
        <v/>
      </c>
      <c r="N380" s="2">
        <f>ABS(K380)</f>
        <v/>
      </c>
      <c r="O380" s="3">
        <f>IF(D380=0,"",(E380-D380)/D380)</f>
        <v/>
      </c>
      <c r="P380" s="3">
        <f>IF(ISNUMBER(F380),IF(D380=0,"",(F380-D380)/D380),"")</f>
        <v/>
      </c>
      <c r="Q380" s="3">
        <f>IF(D380=0,"",(G380-D380)/D380)</f>
        <v/>
      </c>
    </row>
    <row r="381">
      <c r="A381" t="inlineStr">
        <is>
          <t>HP2/01/155gsm/2440mm</t>
        </is>
      </c>
      <c r="B381" t="inlineStr">
        <is>
          <t>SQUA</t>
        </is>
      </c>
      <c r="C381" t="inlineStr">
        <is>
          <t>2026-09</t>
        </is>
      </c>
      <c r="D381" s="2" t="n">
        <v>227.818</v>
      </c>
      <c r="E381" s="2" t="n">
        <v>245</v>
      </c>
      <c r="F381" s="2" t="n">
        <v>211</v>
      </c>
      <c r="G381" s="2" t="n">
        <v>191.879</v>
      </c>
      <c r="H381">
        <f>ISNUMBER(F381)</f>
        <v/>
      </c>
      <c r="I381" s="2">
        <f>E381-D381</f>
        <v/>
      </c>
      <c r="J381" s="2">
        <f>IF(ISNUMBER(F381),F381-D381,"")</f>
        <v/>
      </c>
      <c r="K381" s="2">
        <f>G381-D381</f>
        <v/>
      </c>
      <c r="L381" s="2">
        <f>ABS(I381)</f>
        <v/>
      </c>
      <c r="M381" s="2">
        <f>IF(ISNUMBER(F381),ABS(F381-D381),"")</f>
        <v/>
      </c>
      <c r="N381" s="2">
        <f>ABS(K381)</f>
        <v/>
      </c>
      <c r="O381" s="3">
        <f>IF(D381=0,"",(E381-D381)/D381)</f>
        <v/>
      </c>
      <c r="P381" s="3">
        <f>IF(ISNUMBER(F381),IF(D381=0,"",(F381-D381)/D381),"")</f>
        <v/>
      </c>
      <c r="Q381" s="3">
        <f>IF(D381=0,"",(G381-D381)/D381)</f>
        <v/>
      </c>
    </row>
    <row r="382">
      <c r="A382" t="inlineStr">
        <is>
          <t>HP2/01/155gsm/2640mm</t>
        </is>
      </c>
      <c r="B382" t="inlineStr">
        <is>
          <t>SQUA</t>
        </is>
      </c>
      <c r="C382" t="inlineStr">
        <is>
          <t>2026-09</t>
        </is>
      </c>
      <c r="D382" s="2" t="n">
        <v>159.824</v>
      </c>
      <c r="E382" s="2" t="n">
        <v>150</v>
      </c>
      <c r="F382" s="2" t="n">
        <v>117</v>
      </c>
      <c r="G382" s="2" t="n">
        <v>129.179</v>
      </c>
      <c r="H382">
        <f>ISNUMBER(F382)</f>
        <v/>
      </c>
      <c r="I382" s="2">
        <f>E382-D382</f>
        <v/>
      </c>
      <c r="J382" s="2">
        <f>IF(ISNUMBER(F382),F382-D382,"")</f>
        <v/>
      </c>
      <c r="K382" s="2">
        <f>G382-D382</f>
        <v/>
      </c>
      <c r="L382" s="2">
        <f>ABS(I382)</f>
        <v/>
      </c>
      <c r="M382" s="2">
        <f>IF(ISNUMBER(F382),ABS(F382-D382),"")</f>
        <v/>
      </c>
      <c r="N382" s="2">
        <f>ABS(K382)</f>
        <v/>
      </c>
      <c r="O382" s="3">
        <f>IF(D382=0,"",(E382-D382)/D382)</f>
        <v/>
      </c>
      <c r="P382" s="3">
        <f>IF(ISNUMBER(F382),IF(D382=0,"",(F382-D382)/D382),"")</f>
        <v/>
      </c>
      <c r="Q382" s="3">
        <f>IF(D382=0,"",(G382-D382)/D382)</f>
        <v/>
      </c>
    </row>
    <row r="383">
      <c r="A383" t="inlineStr">
        <is>
          <t>HP2/01/155gsm/2790mm</t>
        </is>
      </c>
      <c r="B383" t="inlineStr">
        <is>
          <t>SQUA</t>
        </is>
      </c>
      <c r="C383" t="inlineStr">
        <is>
          <t>2026-09</t>
        </is>
      </c>
      <c r="D383" s="2" t="n">
        <v>292.94</v>
      </c>
      <c r="E383" s="2" t="n">
        <v>290</v>
      </c>
      <c r="F383" s="2" t="n">
        <v>219</v>
      </c>
      <c r="G383" s="2" t="n">
        <v>279.752</v>
      </c>
      <c r="H383">
        <f>ISNUMBER(F383)</f>
        <v/>
      </c>
      <c r="I383" s="2">
        <f>E383-D383</f>
        <v/>
      </c>
      <c r="J383" s="2">
        <f>IF(ISNUMBER(F383),F383-D383,"")</f>
        <v/>
      </c>
      <c r="K383" s="2">
        <f>G383-D383</f>
        <v/>
      </c>
      <c r="L383" s="2">
        <f>ABS(I383)</f>
        <v/>
      </c>
      <c r="M383" s="2">
        <f>IF(ISNUMBER(F383),ABS(F383-D383),"")</f>
        <v/>
      </c>
      <c r="N383" s="2">
        <f>ABS(K383)</f>
        <v/>
      </c>
      <c r="O383" s="3">
        <f>IF(D383=0,"",(E383-D383)/D383)</f>
        <v/>
      </c>
      <c r="P383" s="3">
        <f>IF(ISNUMBER(F383),IF(D383=0,"",(F383-D383)/D383),"")</f>
        <v/>
      </c>
      <c r="Q383" s="3">
        <f>IF(D383=0,"",(G383-D383)/D383)</f>
        <v/>
      </c>
    </row>
    <row r="384">
      <c r="A384" t="inlineStr">
        <is>
          <t>K/01/125gsm/2200mm</t>
        </is>
      </c>
      <c r="B384" t="inlineStr">
        <is>
          <t>SQUA</t>
        </is>
      </c>
      <c r="C384" t="inlineStr">
        <is>
          <t>2026-09</t>
        </is>
      </c>
      <c r="D384" s="2" t="n">
        <v>26.182</v>
      </c>
      <c r="E384" s="2" t="n">
        <v>35</v>
      </c>
      <c r="F384" s="2" t="n">
        <v>22</v>
      </c>
      <c r="G384" s="2" t="n">
        <v>35.424</v>
      </c>
      <c r="H384">
        <f>ISNUMBER(F384)</f>
        <v/>
      </c>
      <c r="I384" s="2">
        <f>E384-D384</f>
        <v/>
      </c>
      <c r="J384" s="2">
        <f>IF(ISNUMBER(F384),F384-D384,"")</f>
        <v/>
      </c>
      <c r="K384" s="2">
        <f>G384-D384</f>
        <v/>
      </c>
      <c r="L384" s="2">
        <f>ABS(I384)</f>
        <v/>
      </c>
      <c r="M384" s="2">
        <f>IF(ISNUMBER(F384),ABS(F384-D384),"")</f>
        <v/>
      </c>
      <c r="N384" s="2">
        <f>ABS(K384)</f>
        <v/>
      </c>
      <c r="O384" s="3">
        <f>IF(D384=0,"",(E384-D384)/D384)</f>
        <v/>
      </c>
      <c r="P384" s="3">
        <f>IF(ISNUMBER(F384),IF(D384=0,"",(F384-D384)/D384),"")</f>
        <v/>
      </c>
      <c r="Q384" s="3">
        <f>IF(D384=0,"",(G384-D384)/D384)</f>
        <v/>
      </c>
    </row>
    <row r="385">
      <c r="A385" t="inlineStr">
        <is>
          <t>K/01/160gsm/2000mm</t>
        </is>
      </c>
      <c r="B385" t="inlineStr">
        <is>
          <t>SQUA</t>
        </is>
      </c>
      <c r="C385" t="inlineStr">
        <is>
          <t>2026-09</t>
        </is>
      </c>
      <c r="D385" s="2" t="n">
        <v>23.166</v>
      </c>
      <c r="E385" s="2" t="n">
        <v>10</v>
      </c>
      <c r="F385" s="2" t="n">
        <v>20</v>
      </c>
      <c r="G385" s="2" t="n">
        <v>10.967</v>
      </c>
      <c r="H385">
        <f>ISNUMBER(F385)</f>
        <v/>
      </c>
      <c r="I385" s="2">
        <f>E385-D385</f>
        <v/>
      </c>
      <c r="J385" s="2">
        <f>IF(ISNUMBER(F385),F385-D385,"")</f>
        <v/>
      </c>
      <c r="K385" s="2">
        <f>G385-D385</f>
        <v/>
      </c>
      <c r="L385" s="2">
        <f>ABS(I385)</f>
        <v/>
      </c>
      <c r="M385" s="2">
        <f>IF(ISNUMBER(F385),ABS(F385-D385),"")</f>
        <v/>
      </c>
      <c r="N385" s="2">
        <f>ABS(K385)</f>
        <v/>
      </c>
      <c r="O385" s="3">
        <f>IF(D385=0,"",(E385-D385)/D385)</f>
        <v/>
      </c>
      <c r="P385" s="3">
        <f>IF(ISNUMBER(F385),IF(D385=0,"",(F385-D385)/D385),"")</f>
        <v/>
      </c>
      <c r="Q385" s="3">
        <f>IF(D385=0,"",(G385-D385)/D385)</f>
        <v/>
      </c>
    </row>
    <row r="386">
      <c r="A386" t="inlineStr">
        <is>
          <t>K/01/160gsm/2200mm</t>
        </is>
      </c>
      <c r="B386" t="inlineStr">
        <is>
          <t>SQUA</t>
        </is>
      </c>
      <c r="C386" t="inlineStr">
        <is>
          <t>2026-09</t>
        </is>
      </c>
      <c r="D386" s="2" t="n">
        <v>65.441</v>
      </c>
      <c r="E386" s="2" t="n">
        <v>35</v>
      </c>
      <c r="F386" s="2" t="n">
        <v>57</v>
      </c>
      <c r="G386" s="2" t="n">
        <v>33.233</v>
      </c>
      <c r="H386">
        <f>ISNUMBER(F386)</f>
        <v/>
      </c>
      <c r="I386" s="2">
        <f>E386-D386</f>
        <v/>
      </c>
      <c r="J386" s="2">
        <f>IF(ISNUMBER(F386),F386-D386,"")</f>
        <v/>
      </c>
      <c r="K386" s="2">
        <f>G386-D386</f>
        <v/>
      </c>
      <c r="L386" s="2">
        <f>ABS(I386)</f>
        <v/>
      </c>
      <c r="M386" s="2">
        <f>IF(ISNUMBER(F386),ABS(F386-D386),"")</f>
        <v/>
      </c>
      <c r="N386" s="2">
        <f>ABS(K386)</f>
        <v/>
      </c>
      <c r="O386" s="3">
        <f>IF(D386=0,"",(E386-D386)/D386)</f>
        <v/>
      </c>
      <c r="P386" s="3">
        <f>IF(ISNUMBER(F386),IF(D386=0,"",(F386-D386)/D386),"")</f>
        <v/>
      </c>
      <c r="Q386" s="3">
        <f>IF(D386=0,"",(G386-D386)/D386)</f>
        <v/>
      </c>
    </row>
    <row r="387">
      <c r="A387" t="inlineStr">
        <is>
          <t>K/01/160gsm/2450mm</t>
        </is>
      </c>
      <c r="B387" t="inlineStr">
        <is>
          <t>SQUA</t>
        </is>
      </c>
      <c r="C387" t="inlineStr">
        <is>
          <t>2026-09</t>
        </is>
      </c>
      <c r="D387" s="2" t="n">
        <v>54.32</v>
      </c>
      <c r="E387" s="2" t="n">
        <v>75</v>
      </c>
      <c r="F387" s="2" t="n">
        <v>51</v>
      </c>
      <c r="G387" s="2" t="n">
        <v>43.768</v>
      </c>
      <c r="H387">
        <f>ISNUMBER(F387)</f>
        <v/>
      </c>
      <c r="I387" s="2">
        <f>E387-D387</f>
        <v/>
      </c>
      <c r="J387" s="2">
        <f>IF(ISNUMBER(F387),F387-D387,"")</f>
        <v/>
      </c>
      <c r="K387" s="2">
        <f>G387-D387</f>
        <v/>
      </c>
      <c r="L387" s="2">
        <f>ABS(I387)</f>
        <v/>
      </c>
      <c r="M387" s="2">
        <f>IF(ISNUMBER(F387),ABS(F387-D387),"")</f>
        <v/>
      </c>
      <c r="N387" s="2">
        <f>ABS(K387)</f>
        <v/>
      </c>
      <c r="O387" s="3">
        <f>IF(D387=0,"",(E387-D387)/D387)</f>
        <v/>
      </c>
      <c r="P387" s="3">
        <f>IF(ISNUMBER(F387),IF(D387=0,"",(F387-D387)/D387),"")</f>
        <v/>
      </c>
      <c r="Q387" s="3">
        <f>IF(D387=0,"",(G387-D387)/D387)</f>
        <v/>
      </c>
    </row>
    <row r="388">
      <c r="A388" t="inlineStr">
        <is>
          <t>KS/257/195gsm/2000mm</t>
        </is>
      </c>
      <c r="B388" t="inlineStr">
        <is>
          <t>SQUA</t>
        </is>
      </c>
      <c r="C388" t="inlineStr">
        <is>
          <t>2026-09</t>
        </is>
      </c>
      <c r="D388" s="2" t="n">
        <v>111.678</v>
      </c>
      <c r="E388" s="2" t="n">
        <v>80</v>
      </c>
      <c r="F388" s="2" t="n">
        <v>43</v>
      </c>
      <c r="G388" s="2" t="n">
        <v>83.22199999999999</v>
      </c>
      <c r="H388">
        <f>ISNUMBER(F388)</f>
        <v/>
      </c>
      <c r="I388" s="2">
        <f>E388-D388</f>
        <v/>
      </c>
      <c r="J388" s="2">
        <f>IF(ISNUMBER(F388),F388-D388,"")</f>
        <v/>
      </c>
      <c r="K388" s="2">
        <f>G388-D388</f>
        <v/>
      </c>
      <c r="L388" s="2">
        <f>ABS(I388)</f>
        <v/>
      </c>
      <c r="M388" s="2">
        <f>IF(ISNUMBER(F388),ABS(F388-D388),"")</f>
        <v/>
      </c>
      <c r="N388" s="2">
        <f>ABS(K388)</f>
        <v/>
      </c>
      <c r="O388" s="3">
        <f>IF(D388=0,"",(E388-D388)/D388)</f>
        <v/>
      </c>
      <c r="P388" s="3">
        <f>IF(ISNUMBER(F388),IF(D388=0,"",(F388-D388)/D388),"")</f>
        <v/>
      </c>
      <c r="Q388" s="3">
        <f>IF(D388=0,"",(G388-D388)/D388)</f>
        <v/>
      </c>
    </row>
    <row r="389">
      <c r="A389" t="inlineStr">
        <is>
          <t>KS/257/195gsm/2200mm</t>
        </is>
      </c>
      <c r="B389" t="inlineStr">
        <is>
          <t>SQUA</t>
        </is>
      </c>
      <c r="C389" t="inlineStr">
        <is>
          <t>2026-09</t>
        </is>
      </c>
      <c r="D389" s="2" t="n">
        <v>112.245</v>
      </c>
      <c r="E389" s="2" t="n">
        <v>110</v>
      </c>
      <c r="F389" s="2" t="n">
        <v>95</v>
      </c>
      <c r="G389" s="2" t="n">
        <v>123.817</v>
      </c>
      <c r="H389">
        <f>ISNUMBER(F389)</f>
        <v/>
      </c>
      <c r="I389" s="2">
        <f>E389-D389</f>
        <v/>
      </c>
      <c r="J389" s="2">
        <f>IF(ISNUMBER(F389),F389-D389,"")</f>
        <v/>
      </c>
      <c r="K389" s="2">
        <f>G389-D389</f>
        <v/>
      </c>
      <c r="L389" s="2">
        <f>ABS(I389)</f>
        <v/>
      </c>
      <c r="M389" s="2">
        <f>IF(ISNUMBER(F389),ABS(F389-D389),"")</f>
        <v/>
      </c>
      <c r="N389" s="2">
        <f>ABS(K389)</f>
        <v/>
      </c>
      <c r="O389" s="3">
        <f>IF(D389=0,"",(E389-D389)/D389)</f>
        <v/>
      </c>
      <c r="P389" s="3">
        <f>IF(ISNUMBER(F389),IF(D389=0,"",(F389-D389)/D389),"")</f>
        <v/>
      </c>
      <c r="Q389" s="3">
        <f>IF(D389=0,"",(G389-D389)/D389)</f>
        <v/>
      </c>
    </row>
    <row r="390">
      <c r="A390" t="inlineStr">
        <is>
          <t>KS/257/195gsm/2450mm</t>
        </is>
      </c>
      <c r="B390" t="inlineStr">
        <is>
          <t>SQUA</t>
        </is>
      </c>
      <c r="C390" t="inlineStr">
        <is>
          <t>2026-09</t>
        </is>
      </c>
      <c r="D390" s="2" t="n">
        <v>39.945</v>
      </c>
      <c r="E390" s="2" t="n">
        <v>45</v>
      </c>
      <c r="F390" s="2" t="n">
        <v>38</v>
      </c>
      <c r="G390" s="2" t="n">
        <v>45.581</v>
      </c>
      <c r="H390">
        <f>ISNUMBER(F390)</f>
        <v/>
      </c>
      <c r="I390" s="2">
        <f>E390-D390</f>
        <v/>
      </c>
      <c r="J390" s="2">
        <f>IF(ISNUMBER(F390),F390-D390,"")</f>
        <v/>
      </c>
      <c r="K390" s="2">
        <f>G390-D390</f>
        <v/>
      </c>
      <c r="L390" s="2">
        <f>ABS(I390)</f>
        <v/>
      </c>
      <c r="M390" s="2">
        <f>IF(ISNUMBER(F390),ABS(F390-D390),"")</f>
        <v/>
      </c>
      <c r="N390" s="2">
        <f>ABS(K390)</f>
        <v/>
      </c>
      <c r="O390" s="3">
        <f>IF(D390=0,"",(E390-D390)/D390)</f>
        <v/>
      </c>
      <c r="P390" s="3">
        <f>IF(ISNUMBER(F390),IF(D390=0,"",(F390-D390)/D390),"")</f>
        <v/>
      </c>
      <c r="Q390" s="3">
        <f>IF(D390=0,"",(G390-D390)/D390)</f>
        <v/>
      </c>
    </row>
    <row r="391">
      <c r="A391" t="inlineStr">
        <is>
          <t>KS/257/245gsm/2650mm</t>
        </is>
      </c>
      <c r="B391" t="inlineStr">
        <is>
          <t>SQUA</t>
        </is>
      </c>
      <c r="C391" t="inlineStr">
        <is>
          <t>2026-09</t>
        </is>
      </c>
      <c r="D391" s="2" t="n">
        <v>110.205</v>
      </c>
      <c r="E391" s="2" t="n">
        <v>90</v>
      </c>
      <c r="F391" s="2" t="n">
        <v>80</v>
      </c>
      <c r="G391" s="2" t="n">
        <v>79.029</v>
      </c>
      <c r="H391">
        <f>ISNUMBER(F391)</f>
        <v/>
      </c>
      <c r="I391" s="2">
        <f>E391-D391</f>
        <v/>
      </c>
      <c r="J391" s="2">
        <f>IF(ISNUMBER(F391),F391-D391,"")</f>
        <v/>
      </c>
      <c r="K391" s="2">
        <f>G391-D391</f>
        <v/>
      </c>
      <c r="L391" s="2">
        <f>ABS(I391)</f>
        <v/>
      </c>
      <c r="M391" s="2">
        <f>IF(ISNUMBER(F391),ABS(F391-D391),"")</f>
        <v/>
      </c>
      <c r="N391" s="2">
        <f>ABS(K391)</f>
        <v/>
      </c>
      <c r="O391" s="3">
        <f>IF(D391=0,"",(E391-D391)/D391)</f>
        <v/>
      </c>
      <c r="P391" s="3">
        <f>IF(ISNUMBER(F391),IF(D391=0,"",(F391-D391)/D391),"")</f>
        <v/>
      </c>
      <c r="Q391" s="3">
        <f>IF(D391=0,"",(G391-D391)/D391)</f>
        <v/>
      </c>
    </row>
    <row r="392">
      <c r="A392" t="inlineStr">
        <is>
          <t>KS/257/245gsm/2800mm</t>
        </is>
      </c>
      <c r="B392" t="inlineStr">
        <is>
          <t>SQUA</t>
        </is>
      </c>
      <c r="C392" t="inlineStr">
        <is>
          <t>2026-09</t>
        </is>
      </c>
      <c r="D392" s="2" t="n">
        <v>35.371</v>
      </c>
      <c r="E392" s="2" t="n">
        <v>70</v>
      </c>
      <c r="F392" s="2" t="n">
        <v>43</v>
      </c>
      <c r="G392" s="2" t="n">
        <v>66.602</v>
      </c>
      <c r="H392">
        <f>ISNUMBER(F392)</f>
        <v/>
      </c>
      <c r="I392" s="2">
        <f>E392-D392</f>
        <v/>
      </c>
      <c r="J392" s="2">
        <f>IF(ISNUMBER(F392),F392-D392,"")</f>
        <v/>
      </c>
      <c r="K392" s="2">
        <f>G392-D392</f>
        <v/>
      </c>
      <c r="L392" s="2">
        <f>ABS(I392)</f>
        <v/>
      </c>
      <c r="M392" s="2">
        <f>IF(ISNUMBER(F392),ABS(F392-D392),"")</f>
        <v/>
      </c>
      <c r="N392" s="2">
        <f>ABS(K392)</f>
        <v/>
      </c>
      <c r="O392" s="3">
        <f>IF(D392=0,"",(E392-D392)/D392)</f>
        <v/>
      </c>
      <c r="P392" s="3">
        <f>IF(ISNUMBER(F392),IF(D392=0,"",(F392-D392)/D392),"")</f>
        <v/>
      </c>
      <c r="Q392" s="3">
        <f>IF(D392=0,"",(G392-D392)/D392)</f>
        <v/>
      </c>
    </row>
    <row r="393">
      <c r="A393" t="inlineStr">
        <is>
          <t>KW2/01/115gsm/2000mm</t>
        </is>
      </c>
      <c r="B393" t="inlineStr">
        <is>
          <t>SQUA</t>
        </is>
      </c>
      <c r="C393" t="inlineStr">
        <is>
          <t>2026-09</t>
        </is>
      </c>
      <c r="D393" s="2" t="n">
        <v>15.913</v>
      </c>
      <c r="E393" s="2" t="n">
        <v>30</v>
      </c>
      <c r="F393" s="2" t="n">
        <v>48</v>
      </c>
      <c r="G393" s="2" t="n">
        <v>30.291</v>
      </c>
      <c r="H393">
        <f>ISNUMBER(F393)</f>
        <v/>
      </c>
      <c r="I393" s="2">
        <f>E393-D393</f>
        <v/>
      </c>
      <c r="J393" s="2">
        <f>IF(ISNUMBER(F393),F393-D393,"")</f>
        <v/>
      </c>
      <c r="K393" s="2">
        <f>G393-D393</f>
        <v/>
      </c>
      <c r="L393" s="2">
        <f>ABS(I393)</f>
        <v/>
      </c>
      <c r="M393" s="2">
        <f>IF(ISNUMBER(F393),ABS(F393-D393),"")</f>
        <v/>
      </c>
      <c r="N393" s="2">
        <f>ABS(K393)</f>
        <v/>
      </c>
      <c r="O393" s="3">
        <f>IF(D393=0,"",(E393-D393)/D393)</f>
        <v/>
      </c>
      <c r="P393" s="3">
        <f>IF(ISNUMBER(F393),IF(D393=0,"",(F393-D393)/D393),"")</f>
        <v/>
      </c>
      <c r="Q393" s="3">
        <f>IF(D393=0,"",(G393-D393)/D393)</f>
        <v/>
      </c>
    </row>
    <row r="394">
      <c r="A394" t="inlineStr">
        <is>
          <t>KW2/01/115gsm/2200mm</t>
        </is>
      </c>
      <c r="B394" t="inlineStr">
        <is>
          <t>SQUA</t>
        </is>
      </c>
      <c r="C394" t="inlineStr">
        <is>
          <t>2026-09</t>
        </is>
      </c>
      <c r="D394" s="2" t="n">
        <v>53.679</v>
      </c>
      <c r="E394" s="2" t="n">
        <v>60</v>
      </c>
      <c r="F394" s="2" t="n">
        <v>71</v>
      </c>
      <c r="G394" s="2" t="n">
        <v>54.582</v>
      </c>
      <c r="H394">
        <f>ISNUMBER(F394)</f>
        <v/>
      </c>
      <c r="I394" s="2">
        <f>E394-D394</f>
        <v/>
      </c>
      <c r="J394" s="2">
        <f>IF(ISNUMBER(F394),F394-D394,"")</f>
        <v/>
      </c>
      <c r="K394" s="2">
        <f>G394-D394</f>
        <v/>
      </c>
      <c r="L394" s="2">
        <f>ABS(I394)</f>
        <v/>
      </c>
      <c r="M394" s="2">
        <f>IF(ISNUMBER(F394),ABS(F394-D394),"")</f>
        <v/>
      </c>
      <c r="N394" s="2">
        <f>ABS(K394)</f>
        <v/>
      </c>
      <c r="O394" s="3">
        <f>IF(D394=0,"",(E394-D394)/D394)</f>
        <v/>
      </c>
      <c r="P394" s="3">
        <f>IF(ISNUMBER(F394),IF(D394=0,"",(F394-D394)/D394),"")</f>
        <v/>
      </c>
      <c r="Q394" s="3">
        <f>IF(D394=0,"",(G394-D394)/D394)</f>
        <v/>
      </c>
    </row>
    <row r="395">
      <c r="A395" t="inlineStr">
        <is>
          <t>KW2/01/115gsm/2450mm</t>
        </is>
      </c>
      <c r="B395" t="inlineStr">
        <is>
          <t>SQUA</t>
        </is>
      </c>
      <c r="C395" t="inlineStr">
        <is>
          <t>2026-09</t>
        </is>
      </c>
      <c r="D395" s="2" t="n">
        <v>51.921</v>
      </c>
      <c r="E395" s="2" t="n">
        <v>60</v>
      </c>
      <c r="F395" s="2" t="n">
        <v>67</v>
      </c>
      <c r="G395" s="2" t="n">
        <v>53.892</v>
      </c>
      <c r="H395">
        <f>ISNUMBER(F395)</f>
        <v/>
      </c>
      <c r="I395" s="2">
        <f>E395-D395</f>
        <v/>
      </c>
      <c r="J395" s="2">
        <f>IF(ISNUMBER(F395),F395-D395,"")</f>
        <v/>
      </c>
      <c r="K395" s="2">
        <f>G395-D395</f>
        <v/>
      </c>
      <c r="L395" s="2">
        <f>ABS(I395)</f>
        <v/>
      </c>
      <c r="M395" s="2">
        <f>IF(ISNUMBER(F395),ABS(F395-D395),"")</f>
        <v/>
      </c>
      <c r="N395" s="2">
        <f>ABS(K395)</f>
        <v/>
      </c>
      <c r="O395" s="3">
        <f>IF(D395=0,"",(E395-D395)/D395)</f>
        <v/>
      </c>
      <c r="P395" s="3">
        <f>IF(ISNUMBER(F395),IF(D395=0,"",(F395-D395)/D395),"")</f>
        <v/>
      </c>
      <c r="Q395" s="3">
        <f>IF(D395=0,"",(G395-D395)/D395)</f>
        <v/>
      </c>
    </row>
    <row r="396">
      <c r="A396" t="inlineStr">
        <is>
          <t>KW2/01/115gsm/2650mm</t>
        </is>
      </c>
      <c r="B396" t="inlineStr">
        <is>
          <t>SQUA</t>
        </is>
      </c>
      <c r="C396" t="inlineStr">
        <is>
          <t>2026-09</t>
        </is>
      </c>
      <c r="D396" s="2" t="n">
        <v>52.878</v>
      </c>
      <c r="E396" s="2" t="n">
        <v>70</v>
      </c>
      <c r="F396" s="2" t="n">
        <v>62</v>
      </c>
      <c r="G396" s="2" t="n">
        <v>52.893</v>
      </c>
      <c r="H396">
        <f>ISNUMBER(F396)</f>
        <v/>
      </c>
      <c r="I396" s="2">
        <f>E396-D396</f>
        <v/>
      </c>
      <c r="J396" s="2">
        <f>IF(ISNUMBER(F396),F396-D396,"")</f>
        <v/>
      </c>
      <c r="K396" s="2">
        <f>G396-D396</f>
        <v/>
      </c>
      <c r="L396" s="2">
        <f>ABS(I396)</f>
        <v/>
      </c>
      <c r="M396" s="2">
        <f>IF(ISNUMBER(F396),ABS(F396-D396),"")</f>
        <v/>
      </c>
      <c r="N396" s="2">
        <f>ABS(K396)</f>
        <v/>
      </c>
      <c r="O396" s="3">
        <f>IF(D396=0,"",(E396-D396)/D396)</f>
        <v/>
      </c>
      <c r="P396" s="3">
        <f>IF(ISNUMBER(F396),IF(D396=0,"",(F396-D396)/D396),"")</f>
        <v/>
      </c>
      <c r="Q396" s="3">
        <f>IF(D396=0,"",(G396-D396)/D396)</f>
        <v/>
      </c>
    </row>
    <row r="397">
      <c r="A397" t="inlineStr">
        <is>
          <t>KW2/01/115gsm/2800mm</t>
        </is>
      </c>
      <c r="B397" t="inlineStr">
        <is>
          <t>SQUA</t>
        </is>
      </c>
      <c r="C397" t="inlineStr">
        <is>
          <t>2026-09</t>
        </is>
      </c>
      <c r="D397" s="2" t="n">
        <v>85.453</v>
      </c>
      <c r="E397" s="2" t="n">
        <v>110</v>
      </c>
      <c r="F397" s="2" t="n">
        <v>87</v>
      </c>
      <c r="G397" s="2" t="n">
        <v>109.52</v>
      </c>
      <c r="H397">
        <f>ISNUMBER(F397)</f>
        <v/>
      </c>
      <c r="I397" s="2">
        <f>E397-D397</f>
        <v/>
      </c>
      <c r="J397" s="2">
        <f>IF(ISNUMBER(F397),F397-D397,"")</f>
        <v/>
      </c>
      <c r="K397" s="2">
        <f>G397-D397</f>
        <v/>
      </c>
      <c r="L397" s="2">
        <f>ABS(I397)</f>
        <v/>
      </c>
      <c r="M397" s="2">
        <f>IF(ISNUMBER(F397),ABS(F397-D397),"")</f>
        <v/>
      </c>
      <c r="N397" s="2">
        <f>ABS(K397)</f>
        <v/>
      </c>
      <c r="O397" s="3">
        <f>IF(D397=0,"",(E397-D397)/D397)</f>
        <v/>
      </c>
      <c r="P397" s="3">
        <f>IF(ISNUMBER(F397),IF(D397=0,"",(F397-D397)/D397),"")</f>
        <v/>
      </c>
      <c r="Q397" s="3">
        <f>IF(D397=0,"",(G397-D397)/D397)</f>
        <v/>
      </c>
    </row>
    <row r="398">
      <c r="A398" t="inlineStr">
        <is>
          <t>KW2/01/160gsm/2200mm</t>
        </is>
      </c>
      <c r="B398" t="inlineStr">
        <is>
          <t>SQUA</t>
        </is>
      </c>
      <c r="C398" t="inlineStr">
        <is>
          <t>2026-09</t>
        </is>
      </c>
      <c r="D398" s="2" t="n">
        <v>41.69</v>
      </c>
      <c r="E398" s="2" t="n">
        <v>55</v>
      </c>
      <c r="F398" s="2" t="n">
        <v>55</v>
      </c>
      <c r="G398" s="2" t="n">
        <v>58.214</v>
      </c>
      <c r="H398">
        <f>ISNUMBER(F398)</f>
        <v/>
      </c>
      <c r="I398" s="2">
        <f>E398-D398</f>
        <v/>
      </c>
      <c r="J398" s="2">
        <f>IF(ISNUMBER(F398),F398-D398,"")</f>
        <v/>
      </c>
      <c r="K398" s="2">
        <f>G398-D398</f>
        <v/>
      </c>
      <c r="L398" s="2">
        <f>ABS(I398)</f>
        <v/>
      </c>
      <c r="M398" s="2">
        <f>IF(ISNUMBER(F398),ABS(F398-D398),"")</f>
        <v/>
      </c>
      <c r="N398" s="2">
        <f>ABS(K398)</f>
        <v/>
      </c>
      <c r="O398" s="3">
        <f>IF(D398=0,"",(E398-D398)/D398)</f>
        <v/>
      </c>
      <c r="P398" s="3">
        <f>IF(ISNUMBER(F398),IF(D398=0,"",(F398-D398)/D398),"")</f>
        <v/>
      </c>
      <c r="Q398" s="3">
        <f>IF(D398=0,"",(G398-D398)/D398)</f>
        <v/>
      </c>
    </row>
    <row r="399">
      <c r="A399" t="inlineStr">
        <is>
          <t>KW2/01/160gsm/2650mm</t>
        </is>
      </c>
      <c r="B399" t="inlineStr">
        <is>
          <t>SQUA</t>
        </is>
      </c>
      <c r="C399" t="inlineStr">
        <is>
          <t>2026-09</t>
        </is>
      </c>
      <c r="D399" s="2" t="n">
        <v>56.713</v>
      </c>
      <c r="E399" s="2" t="n">
        <v>40</v>
      </c>
      <c r="F399" s="2" t="n">
        <v>23</v>
      </c>
      <c r="G399" s="2" t="n">
        <v>38.681</v>
      </c>
      <c r="H399">
        <f>ISNUMBER(F399)</f>
        <v/>
      </c>
      <c r="I399" s="2">
        <f>E399-D399</f>
        <v/>
      </c>
      <c r="J399" s="2">
        <f>IF(ISNUMBER(F399),F399-D399,"")</f>
        <v/>
      </c>
      <c r="K399" s="2">
        <f>G399-D399</f>
        <v/>
      </c>
      <c r="L399" s="2">
        <f>ABS(I399)</f>
        <v/>
      </c>
      <c r="M399" s="2">
        <f>IF(ISNUMBER(F399),ABS(F399-D399),"")</f>
        <v/>
      </c>
      <c r="N399" s="2">
        <f>ABS(K399)</f>
        <v/>
      </c>
      <c r="O399" s="3">
        <f>IF(D399=0,"",(E399-D399)/D399)</f>
        <v/>
      </c>
      <c r="P399" s="3">
        <f>IF(ISNUMBER(F399),IF(D399=0,"",(F399-D399)/D399),"")</f>
        <v/>
      </c>
      <c r="Q399" s="3">
        <f>IF(D399=0,"",(G399-D399)/D399)</f>
        <v/>
      </c>
    </row>
    <row r="400">
      <c r="A400" t="inlineStr">
        <is>
          <t>KW2/01/160gsm/2800mm</t>
        </is>
      </c>
      <c r="B400" t="inlineStr">
        <is>
          <t>SQUA</t>
        </is>
      </c>
      <c r="C400" t="inlineStr">
        <is>
          <t>2026-09</t>
        </is>
      </c>
      <c r="D400" s="2" t="n">
        <v>42.596</v>
      </c>
      <c r="E400" s="2" t="n">
        <v>60</v>
      </c>
      <c r="F400" s="2" t="n">
        <v>30</v>
      </c>
      <c r="G400" s="2" t="n">
        <v>47.626</v>
      </c>
      <c r="H400">
        <f>ISNUMBER(F400)</f>
        <v/>
      </c>
      <c r="I400" s="2">
        <f>E400-D400</f>
        <v/>
      </c>
      <c r="J400" s="2">
        <f>IF(ISNUMBER(F400),F400-D400,"")</f>
        <v/>
      </c>
      <c r="K400" s="2">
        <f>G400-D400</f>
        <v/>
      </c>
      <c r="L400" s="2">
        <f>ABS(I400)</f>
        <v/>
      </c>
      <c r="M400" s="2">
        <f>IF(ISNUMBER(F400),ABS(F400-D400),"")</f>
        <v/>
      </c>
      <c r="N400" s="2">
        <f>ABS(K400)</f>
        <v/>
      </c>
      <c r="O400" s="3">
        <f>IF(D400=0,"",(E400-D400)/D400)</f>
        <v/>
      </c>
      <c r="P400" s="3">
        <f>IF(ISNUMBER(F400),IF(D400=0,"",(F400-D400)/D400),"")</f>
        <v/>
      </c>
      <c r="Q400" s="3">
        <f>IF(D400=0,"",(G400-D400)/D400)</f>
        <v/>
      </c>
    </row>
    <row r="401">
      <c r="A401" t="inlineStr">
        <is>
          <t>RF1/01/100gsm/1990mm</t>
        </is>
      </c>
      <c r="B401" t="inlineStr">
        <is>
          <t>SQUA</t>
        </is>
      </c>
      <c r="C401" t="inlineStr">
        <is>
          <t>2026-09</t>
        </is>
      </c>
      <c r="D401" s="2" t="n">
        <v>23.368</v>
      </c>
      <c r="E401" s="2" t="n">
        <v>20</v>
      </c>
      <c r="F401" s="2" t="n">
        <v>30</v>
      </c>
      <c r="G401" s="2" t="n">
        <v>20.238</v>
      </c>
      <c r="H401">
        <f>ISNUMBER(F401)</f>
        <v/>
      </c>
      <c r="I401" s="2">
        <f>E401-D401</f>
        <v/>
      </c>
      <c r="J401" s="2">
        <f>IF(ISNUMBER(F401),F401-D401,"")</f>
        <v/>
      </c>
      <c r="K401" s="2">
        <f>G401-D401</f>
        <v/>
      </c>
      <c r="L401" s="2">
        <f>ABS(I401)</f>
        <v/>
      </c>
      <c r="M401" s="2">
        <f>IF(ISNUMBER(F401),ABS(F401-D401),"")</f>
        <v/>
      </c>
      <c r="N401" s="2">
        <f>ABS(K401)</f>
        <v/>
      </c>
      <c r="O401" s="3">
        <f>IF(D401=0,"",(E401-D401)/D401)</f>
        <v/>
      </c>
      <c r="P401" s="3">
        <f>IF(ISNUMBER(F401),IF(D401=0,"",(F401-D401)/D401),"")</f>
        <v/>
      </c>
      <c r="Q401" s="3">
        <f>IF(D401=0,"",(G401-D401)/D401)</f>
        <v/>
      </c>
    </row>
    <row r="402">
      <c r="A402" t="inlineStr">
        <is>
          <t>RF1/01/100gsm/2190mm</t>
        </is>
      </c>
      <c r="B402" t="inlineStr">
        <is>
          <t>SQUA</t>
        </is>
      </c>
      <c r="C402" t="inlineStr">
        <is>
          <t>2026-09</t>
        </is>
      </c>
      <c r="D402" s="2" t="n">
        <v>93.523</v>
      </c>
      <c r="E402" s="2" t="n">
        <v>80</v>
      </c>
      <c r="F402" s="2" t="n">
        <v>125</v>
      </c>
      <c r="G402" s="2" t="n">
        <v>73.66200000000001</v>
      </c>
      <c r="H402">
        <f>ISNUMBER(F402)</f>
        <v/>
      </c>
      <c r="I402" s="2">
        <f>E402-D402</f>
        <v/>
      </c>
      <c r="J402" s="2">
        <f>IF(ISNUMBER(F402),F402-D402,"")</f>
        <v/>
      </c>
      <c r="K402" s="2">
        <f>G402-D402</f>
        <v/>
      </c>
      <c r="L402" s="2">
        <f>ABS(I402)</f>
        <v/>
      </c>
      <c r="M402" s="2">
        <f>IF(ISNUMBER(F402),ABS(F402-D402),"")</f>
        <v/>
      </c>
      <c r="N402" s="2">
        <f>ABS(K402)</f>
        <v/>
      </c>
      <c r="O402" s="3">
        <f>IF(D402=0,"",(E402-D402)/D402)</f>
        <v/>
      </c>
      <c r="P402" s="3">
        <f>IF(ISNUMBER(F402),IF(D402=0,"",(F402-D402)/D402),"")</f>
        <v/>
      </c>
      <c r="Q402" s="3">
        <f>IF(D402=0,"",(G402-D402)/D402)</f>
        <v/>
      </c>
    </row>
    <row r="403">
      <c r="A403" t="inlineStr">
        <is>
          <t>RF1/01/100gsm/2440mm</t>
        </is>
      </c>
      <c r="B403" t="inlineStr">
        <is>
          <t>SQUA</t>
        </is>
      </c>
      <c r="C403" t="inlineStr">
        <is>
          <t>2026-09</t>
        </is>
      </c>
      <c r="D403" s="2" t="n">
        <v>96.04900000000001</v>
      </c>
      <c r="E403" s="2" t="n">
        <v>110</v>
      </c>
      <c r="F403" s="2" t="n">
        <v>119</v>
      </c>
      <c r="G403" s="2" t="n">
        <v>98.373</v>
      </c>
      <c r="H403">
        <f>ISNUMBER(F403)</f>
        <v/>
      </c>
      <c r="I403" s="2">
        <f>E403-D403</f>
        <v/>
      </c>
      <c r="J403" s="2">
        <f>IF(ISNUMBER(F403),F403-D403,"")</f>
        <v/>
      </c>
      <c r="K403" s="2">
        <f>G403-D403</f>
        <v/>
      </c>
      <c r="L403" s="2">
        <f>ABS(I403)</f>
        <v/>
      </c>
      <c r="M403" s="2">
        <f>IF(ISNUMBER(F403),ABS(F403-D403),"")</f>
        <v/>
      </c>
      <c r="N403" s="2">
        <f>ABS(K403)</f>
        <v/>
      </c>
      <c r="O403" s="3">
        <f>IF(D403=0,"",(E403-D403)/D403)</f>
        <v/>
      </c>
      <c r="P403" s="3">
        <f>IF(ISNUMBER(F403),IF(D403=0,"",(F403-D403)/D403),"")</f>
        <v/>
      </c>
      <c r="Q403" s="3">
        <f>IF(D403=0,"",(G403-D403)/D403)</f>
        <v/>
      </c>
    </row>
    <row r="404">
      <c r="A404" t="inlineStr">
        <is>
          <t>RF1/01/100gsm/2640mm</t>
        </is>
      </c>
      <c r="B404" t="inlineStr">
        <is>
          <t>SQUA</t>
        </is>
      </c>
      <c r="C404" t="inlineStr">
        <is>
          <t>2026-09</t>
        </is>
      </c>
      <c r="D404" s="2" t="n">
        <v>53.03</v>
      </c>
      <c r="E404" s="2" t="n">
        <v>85</v>
      </c>
      <c r="F404" s="2" t="n">
        <v>106</v>
      </c>
      <c r="G404" s="2" t="n">
        <v>73.17700000000001</v>
      </c>
      <c r="H404">
        <f>ISNUMBER(F404)</f>
        <v/>
      </c>
      <c r="I404" s="2">
        <f>E404-D404</f>
        <v/>
      </c>
      <c r="J404" s="2">
        <f>IF(ISNUMBER(F404),F404-D404,"")</f>
        <v/>
      </c>
      <c r="K404" s="2">
        <f>G404-D404</f>
        <v/>
      </c>
      <c r="L404" s="2">
        <f>ABS(I404)</f>
        <v/>
      </c>
      <c r="M404" s="2">
        <f>IF(ISNUMBER(F404),ABS(F404-D404),"")</f>
        <v/>
      </c>
      <c r="N404" s="2">
        <f>ABS(K404)</f>
        <v/>
      </c>
      <c r="O404" s="3">
        <f>IF(D404=0,"",(E404-D404)/D404)</f>
        <v/>
      </c>
      <c r="P404" s="3">
        <f>IF(ISNUMBER(F404),IF(D404=0,"",(F404-D404)/D404),"")</f>
        <v/>
      </c>
      <c r="Q404" s="3">
        <f>IF(D404=0,"",(G404-D404)/D404)</f>
        <v/>
      </c>
    </row>
    <row r="405">
      <c r="A405" t="inlineStr">
        <is>
          <t>RF1/01/100gsm/2790mm</t>
        </is>
      </c>
      <c r="B405" t="inlineStr">
        <is>
          <t>SQUA</t>
        </is>
      </c>
      <c r="C405" t="inlineStr">
        <is>
          <t>2026-09</t>
        </is>
      </c>
      <c r="D405" s="2" t="n">
        <v>206.754</v>
      </c>
      <c r="E405" s="2" t="n">
        <v>175</v>
      </c>
      <c r="F405" s="2" t="n">
        <v>130</v>
      </c>
      <c r="G405" s="2" t="n">
        <v>189.894</v>
      </c>
      <c r="H405">
        <f>ISNUMBER(F405)</f>
        <v/>
      </c>
      <c r="I405" s="2">
        <f>E405-D405</f>
        <v/>
      </c>
      <c r="J405" s="2">
        <f>IF(ISNUMBER(F405),F405-D405,"")</f>
        <v/>
      </c>
      <c r="K405" s="2">
        <f>G405-D405</f>
        <v/>
      </c>
      <c r="L405" s="2">
        <f>ABS(I405)</f>
        <v/>
      </c>
      <c r="M405" s="2">
        <f>IF(ISNUMBER(F405),ABS(F405-D405),"")</f>
        <v/>
      </c>
      <c r="N405" s="2">
        <f>ABS(K405)</f>
        <v/>
      </c>
      <c r="O405" s="3">
        <f>IF(D405=0,"",(E405-D405)/D405)</f>
        <v/>
      </c>
      <c r="P405" s="3">
        <f>IF(ISNUMBER(F405),IF(D405=0,"",(F405-D405)/D405),"")</f>
        <v/>
      </c>
      <c r="Q405" s="3">
        <f>IF(D405=0,"",(G405-D405)/D405)</f>
        <v/>
      </c>
    </row>
    <row r="406">
      <c r="A406" t="inlineStr">
        <is>
          <t>RF1/01/80gsm/1990mm</t>
        </is>
      </c>
      <c r="B406" t="inlineStr">
        <is>
          <t>SQUA</t>
        </is>
      </c>
      <c r="C406" t="inlineStr">
        <is>
          <t>2026-09</t>
        </is>
      </c>
      <c r="D406" s="2" t="n">
        <v>46.491</v>
      </c>
      <c r="E406" s="2" t="n">
        <v>40</v>
      </c>
      <c r="F406" s="2" t="n">
        <v>26</v>
      </c>
      <c r="G406" s="2" t="n">
        <v>38.893</v>
      </c>
      <c r="H406">
        <f>ISNUMBER(F406)</f>
        <v/>
      </c>
      <c r="I406" s="2">
        <f>E406-D406</f>
        <v/>
      </c>
      <c r="J406" s="2">
        <f>IF(ISNUMBER(F406),F406-D406,"")</f>
        <v/>
      </c>
      <c r="K406" s="2">
        <f>G406-D406</f>
        <v/>
      </c>
      <c r="L406" s="2">
        <f>ABS(I406)</f>
        <v/>
      </c>
      <c r="M406" s="2">
        <f>IF(ISNUMBER(F406),ABS(F406-D406),"")</f>
        <v/>
      </c>
      <c r="N406" s="2">
        <f>ABS(K406)</f>
        <v/>
      </c>
      <c r="O406" s="3">
        <f>IF(D406=0,"",(E406-D406)/D406)</f>
        <v/>
      </c>
      <c r="P406" s="3">
        <f>IF(ISNUMBER(F406),IF(D406=0,"",(F406-D406)/D406),"")</f>
        <v/>
      </c>
      <c r="Q406" s="3">
        <f>IF(D406=0,"",(G406-D406)/D406)</f>
        <v/>
      </c>
    </row>
    <row r="407">
      <c r="A407" t="inlineStr">
        <is>
          <t>RF1/01/80gsm/2190mm</t>
        </is>
      </c>
      <c r="B407" t="inlineStr">
        <is>
          <t>SQUA</t>
        </is>
      </c>
      <c r="C407" t="inlineStr">
        <is>
          <t>2026-09</t>
        </is>
      </c>
      <c r="D407" s="2" t="n">
        <v>58.209</v>
      </c>
      <c r="E407" s="2" t="n">
        <v>70</v>
      </c>
      <c r="F407" s="2" t="n">
        <v>78</v>
      </c>
      <c r="G407" s="2" t="n">
        <v>63.558</v>
      </c>
      <c r="H407">
        <f>ISNUMBER(F407)</f>
        <v/>
      </c>
      <c r="I407" s="2">
        <f>E407-D407</f>
        <v/>
      </c>
      <c r="J407" s="2">
        <f>IF(ISNUMBER(F407),F407-D407,"")</f>
        <v/>
      </c>
      <c r="K407" s="2">
        <f>G407-D407</f>
        <v/>
      </c>
      <c r="L407" s="2">
        <f>ABS(I407)</f>
        <v/>
      </c>
      <c r="M407" s="2">
        <f>IF(ISNUMBER(F407),ABS(F407-D407),"")</f>
        <v/>
      </c>
      <c r="N407" s="2">
        <f>ABS(K407)</f>
        <v/>
      </c>
      <c r="O407" s="3">
        <f>IF(D407=0,"",(E407-D407)/D407)</f>
        <v/>
      </c>
      <c r="P407" s="3">
        <f>IF(ISNUMBER(F407),IF(D407=0,"",(F407-D407)/D407),"")</f>
        <v/>
      </c>
      <c r="Q407" s="3">
        <f>IF(D407=0,"",(G407-D407)/D407)</f>
        <v/>
      </c>
    </row>
    <row r="408">
      <c r="A408" t="inlineStr">
        <is>
          <t>RF1/01/80gsm/2440mm</t>
        </is>
      </c>
      <c r="B408" t="inlineStr">
        <is>
          <t>SQUA</t>
        </is>
      </c>
      <c r="C408" t="inlineStr">
        <is>
          <t>2026-09</t>
        </is>
      </c>
      <c r="D408" s="2" t="n">
        <v>39.832</v>
      </c>
      <c r="E408" s="2" t="n">
        <v>75</v>
      </c>
      <c r="F408" s="2" t="n">
        <v>79</v>
      </c>
      <c r="G408" s="2" t="n">
        <v>68.53100000000001</v>
      </c>
      <c r="H408">
        <f>ISNUMBER(F408)</f>
        <v/>
      </c>
      <c r="I408" s="2">
        <f>E408-D408</f>
        <v/>
      </c>
      <c r="J408" s="2">
        <f>IF(ISNUMBER(F408),F408-D408,"")</f>
        <v/>
      </c>
      <c r="K408" s="2">
        <f>G408-D408</f>
        <v/>
      </c>
      <c r="L408" s="2">
        <f>ABS(I408)</f>
        <v/>
      </c>
      <c r="M408" s="2">
        <f>IF(ISNUMBER(F408),ABS(F408-D408),"")</f>
        <v/>
      </c>
      <c r="N408" s="2">
        <f>ABS(K408)</f>
        <v/>
      </c>
      <c r="O408" s="3">
        <f>IF(D408=0,"",(E408-D408)/D408)</f>
        <v/>
      </c>
      <c r="P408" s="3">
        <f>IF(ISNUMBER(F408),IF(D408=0,"",(F408-D408)/D408),"")</f>
        <v/>
      </c>
      <c r="Q408" s="3">
        <f>IF(D408=0,"",(G408-D408)/D408)</f>
        <v/>
      </c>
    </row>
    <row r="409">
      <c r="A409" t="inlineStr">
        <is>
          <t>T1/01/250gsm/2000mm</t>
        </is>
      </c>
      <c r="B409" t="inlineStr">
        <is>
          <t>SQUA</t>
        </is>
      </c>
      <c r="C409" t="inlineStr">
        <is>
          <t>2026-09</t>
        </is>
      </c>
      <c r="D409" s="2" t="n">
        <v>51.19</v>
      </c>
      <c r="E409" s="2" t="n">
        <v>50</v>
      </c>
      <c r="F409" s="2" t="n">
        <v>29</v>
      </c>
      <c r="G409" s="2" t="n">
        <v>34.687</v>
      </c>
      <c r="H409">
        <f>ISNUMBER(F409)</f>
        <v/>
      </c>
      <c r="I409" s="2">
        <f>E409-D409</f>
        <v/>
      </c>
      <c r="J409" s="2">
        <f>IF(ISNUMBER(F409),F409-D409,"")</f>
        <v/>
      </c>
      <c r="K409" s="2">
        <f>G409-D409</f>
        <v/>
      </c>
      <c r="L409" s="2">
        <f>ABS(I409)</f>
        <v/>
      </c>
      <c r="M409" s="2">
        <f>IF(ISNUMBER(F409),ABS(F409-D409),"")</f>
        <v/>
      </c>
      <c r="N409" s="2">
        <f>ABS(K409)</f>
        <v/>
      </c>
      <c r="O409" s="3">
        <f>IF(D409=0,"",(E409-D409)/D409)</f>
        <v/>
      </c>
      <c r="P409" s="3">
        <f>IF(ISNUMBER(F409),IF(D409=0,"",(F409-D409)/D409),"")</f>
        <v/>
      </c>
      <c r="Q409" s="3">
        <f>IF(D409=0,"",(G409-D409)/D409)</f>
        <v/>
      </c>
    </row>
    <row r="410">
      <c r="A410" t="inlineStr">
        <is>
          <t>T1/01/250gsm/2200mm</t>
        </is>
      </c>
      <c r="B410" t="inlineStr">
        <is>
          <t>SQUA</t>
        </is>
      </c>
      <c r="C410" t="inlineStr">
        <is>
          <t>2026-09</t>
        </is>
      </c>
      <c r="D410" s="2" t="n">
        <v>69.45099999999999</v>
      </c>
      <c r="E410" s="2" t="n">
        <v>75</v>
      </c>
      <c r="F410" s="2" t="n">
        <v>80</v>
      </c>
      <c r="G410" s="2" t="n">
        <v>62.386</v>
      </c>
      <c r="H410">
        <f>ISNUMBER(F410)</f>
        <v/>
      </c>
      <c r="I410" s="2">
        <f>E410-D410</f>
        <v/>
      </c>
      <c r="J410" s="2">
        <f>IF(ISNUMBER(F410),F410-D410,"")</f>
        <v/>
      </c>
      <c r="K410" s="2">
        <f>G410-D410</f>
        <v/>
      </c>
      <c r="L410" s="2">
        <f>ABS(I410)</f>
        <v/>
      </c>
      <c r="M410" s="2">
        <f>IF(ISNUMBER(F410),ABS(F410-D410),"")</f>
        <v/>
      </c>
      <c r="N410" s="2">
        <f>ABS(K410)</f>
        <v/>
      </c>
      <c r="O410" s="3">
        <f>IF(D410=0,"",(E410-D410)/D410)</f>
        <v/>
      </c>
      <c r="P410" s="3">
        <f>IF(ISNUMBER(F410),IF(D410=0,"",(F410-D410)/D410),"")</f>
        <v/>
      </c>
      <c r="Q410" s="3">
        <f>IF(D410=0,"",(G410-D410)/D410)</f>
        <v/>
      </c>
    </row>
    <row r="411">
      <c r="A411" t="inlineStr">
        <is>
          <t>T1/01/250gsm/2450mm</t>
        </is>
      </c>
      <c r="B411" t="inlineStr">
        <is>
          <t>SQUA</t>
        </is>
      </c>
      <c r="C411" t="inlineStr">
        <is>
          <t>2026-09</t>
        </is>
      </c>
      <c r="D411" s="2" t="n">
        <v>100.279</v>
      </c>
      <c r="E411" s="2" t="n">
        <v>105</v>
      </c>
      <c r="F411" s="2" t="n">
        <v>91</v>
      </c>
      <c r="G411" s="2" t="n">
        <v>62.665</v>
      </c>
      <c r="H411">
        <f>ISNUMBER(F411)</f>
        <v/>
      </c>
      <c r="I411" s="2">
        <f>E411-D411</f>
        <v/>
      </c>
      <c r="J411" s="2">
        <f>IF(ISNUMBER(F411),F411-D411,"")</f>
        <v/>
      </c>
      <c r="K411" s="2">
        <f>G411-D411</f>
        <v/>
      </c>
      <c r="L411" s="2">
        <f>ABS(I411)</f>
        <v/>
      </c>
      <c r="M411" s="2">
        <f>IF(ISNUMBER(F411),ABS(F411-D411),"")</f>
        <v/>
      </c>
      <c r="N411" s="2">
        <f>ABS(K411)</f>
        <v/>
      </c>
      <c r="O411" s="3">
        <f>IF(D411=0,"",(E411-D411)/D411)</f>
        <v/>
      </c>
      <c r="P411" s="3">
        <f>IF(ISNUMBER(F411),IF(D411=0,"",(F411-D411)/D411),"")</f>
        <v/>
      </c>
      <c r="Q411" s="3">
        <f>IF(D411=0,"",(G411-D411)/D411)</f>
        <v/>
      </c>
    </row>
    <row r="412">
      <c r="A412" t="inlineStr">
        <is>
          <t>TSL/01/100gsm/2650mm</t>
        </is>
      </c>
      <c r="B412" t="inlineStr">
        <is>
          <t>SQUA</t>
        </is>
      </c>
      <c r="C412" t="inlineStr">
        <is>
          <t>2026-09</t>
        </is>
      </c>
      <c r="D412" s="2" t="n">
        <v>17.646</v>
      </c>
      <c r="E412" s="2" t="n">
        <v>30</v>
      </c>
      <c r="F412" s="2" t="n">
        <v>35</v>
      </c>
      <c r="G412" s="2" t="n">
        <v>28.276</v>
      </c>
      <c r="H412">
        <f>ISNUMBER(F412)</f>
        <v/>
      </c>
      <c r="I412" s="2">
        <f>E412-D412</f>
        <v/>
      </c>
      <c r="J412" s="2">
        <f>IF(ISNUMBER(F412),F412-D412,"")</f>
        <v/>
      </c>
      <c r="K412" s="2">
        <f>G412-D412</f>
        <v/>
      </c>
      <c r="L412" s="2">
        <f>ABS(I412)</f>
        <v/>
      </c>
      <c r="M412" s="2">
        <f>IF(ISNUMBER(F412),ABS(F412-D412),"")</f>
        <v/>
      </c>
      <c r="N412" s="2">
        <f>ABS(K412)</f>
        <v/>
      </c>
      <c r="O412" s="3">
        <f>IF(D412=0,"",(E412-D412)/D412)</f>
        <v/>
      </c>
      <c r="P412" s="3">
        <f>IF(ISNUMBER(F412),IF(D412=0,"",(F412-D412)/D412),"")</f>
        <v/>
      </c>
      <c r="Q412" s="3">
        <f>IF(D412=0,"",(G412-D412)/D412)</f>
        <v/>
      </c>
    </row>
    <row r="413">
      <c r="A413" t="inlineStr">
        <is>
          <t>TSL/01/100gsm/2800mm</t>
        </is>
      </c>
      <c r="B413" t="inlineStr">
        <is>
          <t>SQUA</t>
        </is>
      </c>
      <c r="C413" t="inlineStr">
        <is>
          <t>2026-09</t>
        </is>
      </c>
      <c r="D413" s="2" t="n">
        <v>44.224</v>
      </c>
      <c r="E413" s="2" t="n">
        <v>60</v>
      </c>
      <c r="F413" s="2" t="n">
        <v>32</v>
      </c>
      <c r="G413" s="2" t="n">
        <v>56.955</v>
      </c>
      <c r="H413">
        <f>ISNUMBER(F413)</f>
        <v/>
      </c>
      <c r="I413" s="2">
        <f>E413-D413</f>
        <v/>
      </c>
      <c r="J413" s="2">
        <f>IF(ISNUMBER(F413),F413-D413,"")</f>
        <v/>
      </c>
      <c r="K413" s="2">
        <f>G413-D413</f>
        <v/>
      </c>
      <c r="L413" s="2">
        <f>ABS(I413)</f>
        <v/>
      </c>
      <c r="M413" s="2">
        <f>IF(ISNUMBER(F413),ABS(F413-D413),"")</f>
        <v/>
      </c>
      <c r="N413" s="2">
        <f>ABS(K413)</f>
        <v/>
      </c>
      <c r="O413" s="3">
        <f>IF(D413=0,"",(E413-D413)/D413)</f>
        <v/>
      </c>
      <c r="P413" s="3">
        <f>IF(ISNUMBER(F413),IF(D413=0,"",(F413-D413)/D413),"")</f>
        <v/>
      </c>
      <c r="Q413" s="3">
        <f>IF(D413=0,"",(G413-D413)/D413)</f>
        <v/>
      </c>
    </row>
    <row r="414">
      <c r="A414" t="inlineStr">
        <is>
          <t>TSL/01/125gsm/2200mm</t>
        </is>
      </c>
      <c r="B414" t="inlineStr">
        <is>
          <t>SQUA</t>
        </is>
      </c>
      <c r="C414" t="inlineStr">
        <is>
          <t>2026-09</t>
        </is>
      </c>
      <c r="D414" s="2" t="n">
        <v>79.762</v>
      </c>
      <c r="E414" s="2" t="n">
        <v>70</v>
      </c>
      <c r="F414" s="2" t="n">
        <v>92</v>
      </c>
      <c r="G414" s="2" t="n">
        <v>61.09</v>
      </c>
      <c r="H414">
        <f>ISNUMBER(F414)</f>
        <v/>
      </c>
      <c r="I414" s="2">
        <f>E414-D414</f>
        <v/>
      </c>
      <c r="J414" s="2">
        <f>IF(ISNUMBER(F414),F414-D414,"")</f>
        <v/>
      </c>
      <c r="K414" s="2">
        <f>G414-D414</f>
        <v/>
      </c>
      <c r="L414" s="2">
        <f>ABS(I414)</f>
        <v/>
      </c>
      <c r="M414" s="2">
        <f>IF(ISNUMBER(F414),ABS(F414-D414),"")</f>
        <v/>
      </c>
      <c r="N414" s="2">
        <f>ABS(K414)</f>
        <v/>
      </c>
      <c r="O414" s="3">
        <f>IF(D414=0,"",(E414-D414)/D414)</f>
        <v/>
      </c>
      <c r="P414" s="3">
        <f>IF(ISNUMBER(F414),IF(D414=0,"",(F414-D414)/D414),"")</f>
        <v/>
      </c>
      <c r="Q414" s="3">
        <f>IF(D414=0,"",(G414-D414)/D414)</f>
        <v/>
      </c>
    </row>
    <row r="415">
      <c r="A415" t="inlineStr">
        <is>
          <t>TSL/01/125gsm/2450mm</t>
        </is>
      </c>
      <c r="B415" t="inlineStr">
        <is>
          <t>SQUA</t>
        </is>
      </c>
      <c r="C415" t="inlineStr">
        <is>
          <t>2026-09</t>
        </is>
      </c>
      <c r="D415" s="2" t="n">
        <v>89.04000000000001</v>
      </c>
      <c r="E415" s="2" t="n">
        <v>120</v>
      </c>
      <c r="F415" s="2" t="n">
        <v>85</v>
      </c>
      <c r="G415" s="2" t="n">
        <v>105.685</v>
      </c>
      <c r="H415">
        <f>ISNUMBER(F415)</f>
        <v/>
      </c>
      <c r="I415" s="2">
        <f>E415-D415</f>
        <v/>
      </c>
      <c r="J415" s="2">
        <f>IF(ISNUMBER(F415),F415-D415,"")</f>
        <v/>
      </c>
      <c r="K415" s="2">
        <f>G415-D415</f>
        <v/>
      </c>
      <c r="L415" s="2">
        <f>ABS(I415)</f>
        <v/>
      </c>
      <c r="M415" s="2">
        <f>IF(ISNUMBER(F415),ABS(F415-D415),"")</f>
        <v/>
      </c>
      <c r="N415" s="2">
        <f>ABS(K415)</f>
        <v/>
      </c>
      <c r="O415" s="3">
        <f>IF(D415=0,"",(E415-D415)/D415)</f>
        <v/>
      </c>
      <c r="P415" s="3">
        <f>IF(ISNUMBER(F415),IF(D415=0,"",(F415-D415)/D415),"")</f>
        <v/>
      </c>
      <c r="Q415" s="3">
        <f>IF(D415=0,"",(G415-D415)/D415)</f>
        <v/>
      </c>
    </row>
    <row r="416">
      <c r="A416" t="inlineStr">
        <is>
          <t>TSL/01/125gsm/2650mm</t>
        </is>
      </c>
      <c r="B416" t="inlineStr">
        <is>
          <t>SQUA</t>
        </is>
      </c>
      <c r="C416" t="inlineStr">
        <is>
          <t>2026-09</t>
        </is>
      </c>
      <c r="D416" s="2" t="n">
        <v>59.417</v>
      </c>
      <c r="E416" s="2" t="n">
        <v>55</v>
      </c>
      <c r="F416" s="2" t="n">
        <v>60</v>
      </c>
      <c r="G416" s="2" t="n">
        <v>56.984</v>
      </c>
      <c r="H416">
        <f>ISNUMBER(F416)</f>
        <v/>
      </c>
      <c r="I416" s="2">
        <f>E416-D416</f>
        <v/>
      </c>
      <c r="J416" s="2">
        <f>IF(ISNUMBER(F416),F416-D416,"")</f>
        <v/>
      </c>
      <c r="K416" s="2">
        <f>G416-D416</f>
        <v/>
      </c>
      <c r="L416" s="2">
        <f>ABS(I416)</f>
        <v/>
      </c>
      <c r="M416" s="2">
        <f>IF(ISNUMBER(F416),ABS(F416-D416),"")</f>
        <v/>
      </c>
      <c r="N416" s="2">
        <f>ABS(K416)</f>
        <v/>
      </c>
      <c r="O416" s="3">
        <f>IF(D416=0,"",(E416-D416)/D416)</f>
        <v/>
      </c>
      <c r="P416" s="3">
        <f>IF(ISNUMBER(F416),IF(D416=0,"",(F416-D416)/D416),"")</f>
        <v/>
      </c>
      <c r="Q416" s="3">
        <f>IF(D416=0,"",(G416-D416)/D416)</f>
        <v/>
      </c>
    </row>
    <row r="417">
      <c r="A417" t="inlineStr">
        <is>
          <t>TSL/01/125gsm/2800mm</t>
        </is>
      </c>
      <c r="B417" t="inlineStr">
        <is>
          <t>SQUA</t>
        </is>
      </c>
      <c r="C417" t="inlineStr">
        <is>
          <t>2026-09</t>
        </is>
      </c>
      <c r="D417" s="2" t="n">
        <v>244.036</v>
      </c>
      <c r="E417" s="2" t="n">
        <v>140</v>
      </c>
      <c r="F417" s="2" t="n">
        <v>188</v>
      </c>
      <c r="G417" s="2" t="n">
        <v>182.713</v>
      </c>
      <c r="H417">
        <f>ISNUMBER(F417)</f>
        <v/>
      </c>
      <c r="I417" s="2">
        <f>E417-D417</f>
        <v/>
      </c>
      <c r="J417" s="2">
        <f>IF(ISNUMBER(F417),F417-D417,"")</f>
        <v/>
      </c>
      <c r="K417" s="2">
        <f>G417-D417</f>
        <v/>
      </c>
      <c r="L417" s="2">
        <f>ABS(I417)</f>
        <v/>
      </c>
      <c r="M417" s="2">
        <f>IF(ISNUMBER(F417),ABS(F417-D417),"")</f>
        <v/>
      </c>
      <c r="N417" s="2">
        <f>ABS(K417)</f>
        <v/>
      </c>
      <c r="O417" s="3">
        <f>IF(D417=0,"",(E417-D417)/D417)</f>
        <v/>
      </c>
      <c r="P417" s="3">
        <f>IF(ISNUMBER(F417),IF(D417=0,"",(F417-D417)/D417),"")</f>
        <v/>
      </c>
      <c r="Q417" s="3">
        <f>IF(D417=0,"",(G417-D417)/D417)</f>
        <v/>
      </c>
    </row>
    <row r="418">
      <c r="A418" t="inlineStr">
        <is>
          <t>TSL/01/150gsm/2200mm</t>
        </is>
      </c>
      <c r="B418" t="inlineStr">
        <is>
          <t>SQUA</t>
        </is>
      </c>
      <c r="C418" t="inlineStr">
        <is>
          <t>2026-09</t>
        </is>
      </c>
      <c r="D418" s="2" t="n">
        <v>17.65</v>
      </c>
      <c r="E418" s="2" t="n">
        <v>25</v>
      </c>
      <c r="F418" s="2" t="n">
        <v>16</v>
      </c>
      <c r="G418" s="2" t="n">
        <v>23.839</v>
      </c>
      <c r="H418">
        <f>ISNUMBER(F418)</f>
        <v/>
      </c>
      <c r="I418" s="2">
        <f>E418-D418</f>
        <v/>
      </c>
      <c r="J418" s="2">
        <f>IF(ISNUMBER(F418),F418-D418,"")</f>
        <v/>
      </c>
      <c r="K418" s="2">
        <f>G418-D418</f>
        <v/>
      </c>
      <c r="L418" s="2">
        <f>ABS(I418)</f>
        <v/>
      </c>
      <c r="M418" s="2">
        <f>IF(ISNUMBER(F418),ABS(F418-D418),"")</f>
        <v/>
      </c>
      <c r="N418" s="2">
        <f>ABS(K418)</f>
        <v/>
      </c>
      <c r="O418" s="3">
        <f>IF(D418=0,"",(E418-D418)/D418)</f>
        <v/>
      </c>
      <c r="P418" s="3">
        <f>IF(ISNUMBER(F418),IF(D418=0,"",(F418-D418)/D418),"")</f>
        <v/>
      </c>
      <c r="Q418" s="3">
        <f>IF(D418=0,"",(G418-D418)/D418)</f>
        <v/>
      </c>
    </row>
    <row r="419">
      <c r="A419" t="inlineStr">
        <is>
          <t>HP2/01/115gsm/2190mm</t>
        </is>
      </c>
      <c r="B419" t="inlineStr">
        <is>
          <t>SVIG</t>
        </is>
      </c>
      <c r="C419" t="inlineStr">
        <is>
          <t>2026-09</t>
        </is>
      </c>
      <c r="D419" s="2" t="n">
        <v>131.214</v>
      </c>
      <c r="E419" s="2" t="n">
        <v>130</v>
      </c>
      <c r="F419" s="2" t="n">
        <v>91</v>
      </c>
      <c r="G419" s="2" t="n">
        <v>136.323</v>
      </c>
      <c r="H419">
        <f>ISNUMBER(F419)</f>
        <v/>
      </c>
      <c r="I419" s="2">
        <f>E419-D419</f>
        <v/>
      </c>
      <c r="J419" s="2">
        <f>IF(ISNUMBER(F419),F419-D419,"")</f>
        <v/>
      </c>
      <c r="K419" s="2">
        <f>G419-D419</f>
        <v/>
      </c>
      <c r="L419" s="2">
        <f>ABS(I419)</f>
        <v/>
      </c>
      <c r="M419" s="2">
        <f>IF(ISNUMBER(F419),ABS(F419-D419),"")</f>
        <v/>
      </c>
      <c r="N419" s="2">
        <f>ABS(K419)</f>
        <v/>
      </c>
      <c r="O419" s="3">
        <f>IF(D419=0,"",(E419-D419)/D419)</f>
        <v/>
      </c>
      <c r="P419" s="3">
        <f>IF(ISNUMBER(F419),IF(D419=0,"",(F419-D419)/D419),"")</f>
        <v/>
      </c>
      <c r="Q419" s="3">
        <f>IF(D419=0,"",(G419-D419)/D419)</f>
        <v/>
      </c>
    </row>
    <row r="420">
      <c r="A420" t="inlineStr">
        <is>
          <t>HP2/01/115gsm/2440mm</t>
        </is>
      </c>
      <c r="B420" t="inlineStr">
        <is>
          <t>SVIG</t>
        </is>
      </c>
      <c r="C420" t="inlineStr">
        <is>
          <t>2026-09</t>
        </is>
      </c>
      <c r="D420" s="2" t="n">
        <v>95.517</v>
      </c>
      <c r="E420" s="2" t="n">
        <v>110</v>
      </c>
      <c r="F420" s="2" t="n">
        <v>77</v>
      </c>
      <c r="G420" s="2" t="n">
        <v>98.30800000000001</v>
      </c>
      <c r="H420">
        <f>ISNUMBER(F420)</f>
        <v/>
      </c>
      <c r="I420" s="2">
        <f>E420-D420</f>
        <v/>
      </c>
      <c r="J420" s="2">
        <f>IF(ISNUMBER(F420),F420-D420,"")</f>
        <v/>
      </c>
      <c r="K420" s="2">
        <f>G420-D420</f>
        <v/>
      </c>
      <c r="L420" s="2">
        <f>ABS(I420)</f>
        <v/>
      </c>
      <c r="M420" s="2">
        <f>IF(ISNUMBER(F420),ABS(F420-D420),"")</f>
        <v/>
      </c>
      <c r="N420" s="2">
        <f>ABS(K420)</f>
        <v/>
      </c>
      <c r="O420" s="3">
        <f>IF(D420=0,"",(E420-D420)/D420)</f>
        <v/>
      </c>
      <c r="P420" s="3">
        <f>IF(ISNUMBER(F420),IF(D420=0,"",(F420-D420)/D420),"")</f>
        <v/>
      </c>
      <c r="Q420" s="3">
        <f>IF(D420=0,"",(G420-D420)/D420)</f>
        <v/>
      </c>
    </row>
    <row r="421">
      <c r="A421" t="inlineStr">
        <is>
          <t>HP2/01/125gsm/2190mm</t>
        </is>
      </c>
      <c r="B421" t="inlineStr">
        <is>
          <t>SVIG</t>
        </is>
      </c>
      <c r="C421" t="inlineStr">
        <is>
          <t>2026-09</t>
        </is>
      </c>
      <c r="D421" s="2" t="n">
        <v>125.864</v>
      </c>
      <c r="E421" s="2" t="n">
        <v>130</v>
      </c>
      <c r="F421" s="2" t="n">
        <v>111</v>
      </c>
      <c r="G421" s="2" t="n">
        <v>118.361</v>
      </c>
      <c r="H421">
        <f>ISNUMBER(F421)</f>
        <v/>
      </c>
      <c r="I421" s="2">
        <f>E421-D421</f>
        <v/>
      </c>
      <c r="J421" s="2">
        <f>IF(ISNUMBER(F421),F421-D421,"")</f>
        <v/>
      </c>
      <c r="K421" s="2">
        <f>G421-D421</f>
        <v/>
      </c>
      <c r="L421" s="2">
        <f>ABS(I421)</f>
        <v/>
      </c>
      <c r="M421" s="2">
        <f>IF(ISNUMBER(F421),ABS(F421-D421),"")</f>
        <v/>
      </c>
      <c r="N421" s="2">
        <f>ABS(K421)</f>
        <v/>
      </c>
      <c r="O421" s="3">
        <f>IF(D421=0,"",(E421-D421)/D421)</f>
        <v/>
      </c>
      <c r="P421" s="3">
        <f>IF(ISNUMBER(F421),IF(D421=0,"",(F421-D421)/D421),"")</f>
        <v/>
      </c>
      <c r="Q421" s="3">
        <f>IF(D421=0,"",(G421-D421)/D421)</f>
        <v/>
      </c>
    </row>
    <row r="422">
      <c r="A422" t="inlineStr">
        <is>
          <t>HP2/01/125gsm/2440mm</t>
        </is>
      </c>
      <c r="B422" t="inlineStr">
        <is>
          <t>SVIG</t>
        </is>
      </c>
      <c r="C422" t="inlineStr">
        <is>
          <t>2026-09</t>
        </is>
      </c>
      <c r="D422" s="2" t="n">
        <v>127.341</v>
      </c>
      <c r="E422" s="2" t="n">
        <v>100</v>
      </c>
      <c r="F422" s="2" t="n">
        <v>111</v>
      </c>
      <c r="G422" s="2" t="n">
        <v>102.777</v>
      </c>
      <c r="H422">
        <f>ISNUMBER(F422)</f>
        <v/>
      </c>
      <c r="I422" s="2">
        <f>E422-D422</f>
        <v/>
      </c>
      <c r="J422" s="2">
        <f>IF(ISNUMBER(F422),F422-D422,"")</f>
        <v/>
      </c>
      <c r="K422" s="2">
        <f>G422-D422</f>
        <v/>
      </c>
      <c r="L422" s="2">
        <f>ABS(I422)</f>
        <v/>
      </c>
      <c r="M422" s="2">
        <f>IF(ISNUMBER(F422),ABS(F422-D422),"")</f>
        <v/>
      </c>
      <c r="N422" s="2">
        <f>ABS(K422)</f>
        <v/>
      </c>
      <c r="O422" s="3">
        <f>IF(D422=0,"",(E422-D422)/D422)</f>
        <v/>
      </c>
      <c r="P422" s="3">
        <f>IF(ISNUMBER(F422),IF(D422=0,"",(F422-D422)/D422),"")</f>
        <v/>
      </c>
      <c r="Q422" s="3">
        <f>IF(D422=0,"",(G422-D422)/D422)</f>
        <v/>
      </c>
    </row>
    <row r="423">
      <c r="A423" t="inlineStr">
        <is>
          <t>HP2/01/155gsm/2190mm</t>
        </is>
      </c>
      <c r="B423" t="inlineStr">
        <is>
          <t>SVIG</t>
        </is>
      </c>
      <c r="C423" t="inlineStr">
        <is>
          <t>2026-09</t>
        </is>
      </c>
      <c r="D423" s="2" t="n">
        <v>174.53</v>
      </c>
      <c r="E423" s="2" t="n">
        <v>165</v>
      </c>
      <c r="F423" s="2" t="n">
        <v>176</v>
      </c>
      <c r="G423" s="2" t="n">
        <v>162.744</v>
      </c>
      <c r="H423">
        <f>ISNUMBER(F423)</f>
        <v/>
      </c>
      <c r="I423" s="2">
        <f>E423-D423</f>
        <v/>
      </c>
      <c r="J423" s="2">
        <f>IF(ISNUMBER(F423),F423-D423,"")</f>
        <v/>
      </c>
      <c r="K423" s="2">
        <f>G423-D423</f>
        <v/>
      </c>
      <c r="L423" s="2">
        <f>ABS(I423)</f>
        <v/>
      </c>
      <c r="M423" s="2">
        <f>IF(ISNUMBER(F423),ABS(F423-D423),"")</f>
        <v/>
      </c>
      <c r="N423" s="2">
        <f>ABS(K423)</f>
        <v/>
      </c>
      <c r="O423" s="3">
        <f>IF(D423=0,"",(E423-D423)/D423)</f>
        <v/>
      </c>
      <c r="P423" s="3">
        <f>IF(ISNUMBER(F423),IF(D423=0,"",(F423-D423)/D423),"")</f>
        <v/>
      </c>
      <c r="Q423" s="3">
        <f>IF(D423=0,"",(G423-D423)/D423)</f>
        <v/>
      </c>
    </row>
    <row r="424">
      <c r="A424" t="inlineStr">
        <is>
          <t>HP2/01/155gsm/2440mm</t>
        </is>
      </c>
      <c r="B424" t="inlineStr">
        <is>
          <t>SVIG</t>
        </is>
      </c>
      <c r="C424" t="inlineStr">
        <is>
          <t>2026-09</t>
        </is>
      </c>
      <c r="D424" s="2" t="n">
        <v>183.353</v>
      </c>
      <c r="E424" s="2" t="n">
        <v>140</v>
      </c>
      <c r="F424" s="2" t="n">
        <v>111</v>
      </c>
      <c r="G424" s="2" t="n">
        <v>118.833</v>
      </c>
      <c r="H424">
        <f>ISNUMBER(F424)</f>
        <v/>
      </c>
      <c r="I424" s="2">
        <f>E424-D424</f>
        <v/>
      </c>
      <c r="J424" s="2">
        <f>IF(ISNUMBER(F424),F424-D424,"")</f>
        <v/>
      </c>
      <c r="K424" s="2">
        <f>G424-D424</f>
        <v/>
      </c>
      <c r="L424" s="2">
        <f>ABS(I424)</f>
        <v/>
      </c>
      <c r="M424" s="2">
        <f>IF(ISNUMBER(F424),ABS(F424-D424),"")</f>
        <v/>
      </c>
      <c r="N424" s="2">
        <f>ABS(K424)</f>
        <v/>
      </c>
      <c r="O424" s="3">
        <f>IF(D424=0,"",(E424-D424)/D424)</f>
        <v/>
      </c>
      <c r="P424" s="3">
        <f>IF(ISNUMBER(F424),IF(D424=0,"",(F424-D424)/D424),"")</f>
        <v/>
      </c>
      <c r="Q424" s="3">
        <f>IF(D424=0,"",(G424-D424)/D424)</f>
        <v/>
      </c>
    </row>
    <row r="425">
      <c r="A425" t="inlineStr">
        <is>
          <t>K/01/110gsm/2200mm</t>
        </is>
      </c>
      <c r="B425" t="inlineStr">
        <is>
          <t>SVIG</t>
        </is>
      </c>
      <c r="C425" t="inlineStr">
        <is>
          <t>2026-09</t>
        </is>
      </c>
      <c r="D425" s="2" t="n">
        <v>67.685</v>
      </c>
      <c r="E425" s="2" t="n">
        <v>70</v>
      </c>
      <c r="F425" s="2" t="n">
        <v>75</v>
      </c>
      <c r="G425" s="2" t="n">
        <v>67.33</v>
      </c>
      <c r="H425">
        <f>ISNUMBER(F425)</f>
        <v/>
      </c>
      <c r="I425" s="2">
        <f>E425-D425</f>
        <v/>
      </c>
      <c r="J425" s="2">
        <f>IF(ISNUMBER(F425),F425-D425,"")</f>
        <v/>
      </c>
      <c r="K425" s="2">
        <f>G425-D425</f>
        <v/>
      </c>
      <c r="L425" s="2">
        <f>ABS(I425)</f>
        <v/>
      </c>
      <c r="M425" s="2">
        <f>IF(ISNUMBER(F425),ABS(F425-D425),"")</f>
        <v/>
      </c>
      <c r="N425" s="2">
        <f>ABS(K425)</f>
        <v/>
      </c>
      <c r="O425" s="3">
        <f>IF(D425=0,"",(E425-D425)/D425)</f>
        <v/>
      </c>
      <c r="P425" s="3">
        <f>IF(ISNUMBER(F425),IF(D425=0,"",(F425-D425)/D425),"")</f>
        <v/>
      </c>
      <c r="Q425" s="3">
        <f>IF(D425=0,"",(G425-D425)/D425)</f>
        <v/>
      </c>
    </row>
    <row r="426">
      <c r="A426" t="inlineStr">
        <is>
          <t>K/01/110gsm/2450mm</t>
        </is>
      </c>
      <c r="B426" t="inlineStr">
        <is>
          <t>SVIG</t>
        </is>
      </c>
      <c r="C426" t="inlineStr">
        <is>
          <t>2026-09</t>
        </is>
      </c>
      <c r="D426" s="2" t="n">
        <v>73.485</v>
      </c>
      <c r="E426" s="2" t="n">
        <v>70</v>
      </c>
      <c r="F426" s="2" t="n">
        <v>81</v>
      </c>
      <c r="G426" s="2" t="n">
        <v>68.94</v>
      </c>
      <c r="H426">
        <f>ISNUMBER(F426)</f>
        <v/>
      </c>
      <c r="I426" s="2">
        <f>E426-D426</f>
        <v/>
      </c>
      <c r="J426" s="2">
        <f>IF(ISNUMBER(F426),F426-D426,"")</f>
        <v/>
      </c>
      <c r="K426" s="2">
        <f>G426-D426</f>
        <v/>
      </c>
      <c r="L426" s="2">
        <f>ABS(I426)</f>
        <v/>
      </c>
      <c r="M426" s="2">
        <f>IF(ISNUMBER(F426),ABS(F426-D426),"")</f>
        <v/>
      </c>
      <c r="N426" s="2">
        <f>ABS(K426)</f>
        <v/>
      </c>
      <c r="O426" s="3">
        <f>IF(D426=0,"",(E426-D426)/D426)</f>
        <v/>
      </c>
      <c r="P426" s="3">
        <f>IF(ISNUMBER(F426),IF(D426=0,"",(F426-D426)/D426),"")</f>
        <v/>
      </c>
      <c r="Q426" s="3">
        <f>IF(D426=0,"",(G426-D426)/D426)</f>
        <v/>
      </c>
    </row>
    <row r="427">
      <c r="A427" t="inlineStr">
        <is>
          <t>K/01/125gsm/2450mm</t>
        </is>
      </c>
      <c r="B427" t="inlineStr">
        <is>
          <t>SVIG</t>
        </is>
      </c>
      <c r="C427" t="inlineStr">
        <is>
          <t>2026-09</t>
        </is>
      </c>
      <c r="D427" s="2" t="n">
        <v>25.785</v>
      </c>
      <c r="E427" s="2" t="n">
        <v>35</v>
      </c>
      <c r="F427" s="4" t="inlineStr">
        <is>
          <t>faltante</t>
        </is>
      </c>
      <c r="G427" s="2" t="n">
        <v>23.201</v>
      </c>
      <c r="H427">
        <f>ISNUMBER(F427)</f>
        <v/>
      </c>
      <c r="I427" s="2">
        <f>E427-D427</f>
        <v/>
      </c>
      <c r="J427" s="2">
        <f>IF(ISNUMBER(F427),F427-D427,"")</f>
        <v/>
      </c>
      <c r="K427" s="2">
        <f>G427-D427</f>
        <v/>
      </c>
      <c r="L427" s="2">
        <f>ABS(I427)</f>
        <v/>
      </c>
      <c r="M427" s="2">
        <f>IF(ISNUMBER(F427),ABS(F427-D427),"")</f>
        <v/>
      </c>
      <c r="N427" s="2">
        <f>ABS(K427)</f>
        <v/>
      </c>
      <c r="O427" s="3">
        <f>IF(D427=0,"",(E427-D427)/D427)</f>
        <v/>
      </c>
      <c r="P427" s="3">
        <f>IF(ISNUMBER(F427),IF(D427=0,"",(F427-D427)/D427),"")</f>
        <v/>
      </c>
      <c r="Q427" s="3">
        <f>IF(D427=0,"",(G427-D427)/D427)</f>
        <v/>
      </c>
    </row>
    <row r="428">
      <c r="A428" t="inlineStr">
        <is>
          <t>KS/257/165gsm/2450mm</t>
        </is>
      </c>
      <c r="B428" t="inlineStr">
        <is>
          <t>SVIG</t>
        </is>
      </c>
      <c r="C428" t="inlineStr">
        <is>
          <t>2026-09</t>
        </is>
      </c>
      <c r="D428" s="2" t="n">
        <v>58.439</v>
      </c>
      <c r="E428" s="2" t="n">
        <v>45</v>
      </c>
      <c r="F428" s="2" t="n">
        <v>31</v>
      </c>
      <c r="G428" s="2" t="n">
        <v>42.183</v>
      </c>
      <c r="H428">
        <f>ISNUMBER(F428)</f>
        <v/>
      </c>
      <c r="I428" s="2">
        <f>E428-D428</f>
        <v/>
      </c>
      <c r="J428" s="2">
        <f>IF(ISNUMBER(F428),F428-D428,"")</f>
        <v/>
      </c>
      <c r="K428" s="2">
        <f>G428-D428</f>
        <v/>
      </c>
      <c r="L428" s="2">
        <f>ABS(I428)</f>
        <v/>
      </c>
      <c r="M428" s="2">
        <f>IF(ISNUMBER(F428),ABS(F428-D428),"")</f>
        <v/>
      </c>
      <c r="N428" s="2">
        <f>ABS(K428)</f>
        <v/>
      </c>
      <c r="O428" s="3">
        <f>IF(D428=0,"",(E428-D428)/D428)</f>
        <v/>
      </c>
      <c r="P428" s="3">
        <f>IF(ISNUMBER(F428),IF(D428=0,"",(F428-D428)/D428),"")</f>
        <v/>
      </c>
      <c r="Q428" s="3">
        <f>IF(D428=0,"",(G428-D428)/D428)</f>
        <v/>
      </c>
    </row>
    <row r="429">
      <c r="A429" t="inlineStr">
        <is>
          <t>KS/257/215gsm/2200mm</t>
        </is>
      </c>
      <c r="B429" t="inlineStr">
        <is>
          <t>SVIG</t>
        </is>
      </c>
      <c r="C429" t="inlineStr">
        <is>
          <t>2026-09</t>
        </is>
      </c>
      <c r="D429" s="2" t="n">
        <v>35.844</v>
      </c>
      <c r="E429" s="2" t="n">
        <v>35</v>
      </c>
      <c r="F429" s="2" t="n">
        <v>28</v>
      </c>
      <c r="G429" s="2" t="n">
        <v>34.007</v>
      </c>
      <c r="H429">
        <f>ISNUMBER(F429)</f>
        <v/>
      </c>
      <c r="I429" s="2">
        <f>E429-D429</f>
        <v/>
      </c>
      <c r="J429" s="2">
        <f>IF(ISNUMBER(F429),F429-D429,"")</f>
        <v/>
      </c>
      <c r="K429" s="2">
        <f>G429-D429</f>
        <v/>
      </c>
      <c r="L429" s="2">
        <f>ABS(I429)</f>
        <v/>
      </c>
      <c r="M429" s="2">
        <f>IF(ISNUMBER(F429),ABS(F429-D429),"")</f>
        <v/>
      </c>
      <c r="N429" s="2">
        <f>ABS(K429)</f>
        <v/>
      </c>
      <c r="O429" s="3">
        <f>IF(D429=0,"",(E429-D429)/D429)</f>
        <v/>
      </c>
      <c r="P429" s="3">
        <f>IF(ISNUMBER(F429),IF(D429=0,"",(F429-D429)/D429),"")</f>
        <v/>
      </c>
      <c r="Q429" s="3">
        <f>IF(D429=0,"",(G429-D429)/D429)</f>
        <v/>
      </c>
    </row>
    <row r="430">
      <c r="A430" t="inlineStr">
        <is>
          <t>KS/257/215gsm/2450mm</t>
        </is>
      </c>
      <c r="B430" t="inlineStr">
        <is>
          <t>SVIG</t>
        </is>
      </c>
      <c r="C430" t="inlineStr">
        <is>
          <t>2026-09</t>
        </is>
      </c>
      <c r="D430" s="2" t="n">
        <v>52.488</v>
      </c>
      <c r="E430" s="2" t="n">
        <v>40</v>
      </c>
      <c r="F430" s="2" t="n">
        <v>33</v>
      </c>
      <c r="G430" s="2" t="n">
        <v>46.919</v>
      </c>
      <c r="H430">
        <f>ISNUMBER(F430)</f>
        <v/>
      </c>
      <c r="I430" s="2">
        <f>E430-D430</f>
        <v/>
      </c>
      <c r="J430" s="2">
        <f>IF(ISNUMBER(F430),F430-D430,"")</f>
        <v/>
      </c>
      <c r="K430" s="2">
        <f>G430-D430</f>
        <v/>
      </c>
      <c r="L430" s="2">
        <f>ABS(I430)</f>
        <v/>
      </c>
      <c r="M430" s="2">
        <f>IF(ISNUMBER(F430),ABS(F430-D430),"")</f>
        <v/>
      </c>
      <c r="N430" s="2">
        <f>ABS(K430)</f>
        <v/>
      </c>
      <c r="O430" s="3">
        <f>IF(D430=0,"",(E430-D430)/D430)</f>
        <v/>
      </c>
      <c r="P430" s="3">
        <f>IF(ISNUMBER(F430),IF(D430=0,"",(F430-D430)/D430),"")</f>
        <v/>
      </c>
      <c r="Q430" s="3">
        <f>IF(D430=0,"",(G430-D430)/D430)</f>
        <v/>
      </c>
    </row>
    <row r="431">
      <c r="A431" t="inlineStr">
        <is>
          <t>KW2/01/115gsm/2200mm</t>
        </is>
      </c>
      <c r="B431" t="inlineStr">
        <is>
          <t>SVIG</t>
        </is>
      </c>
      <c r="C431" t="inlineStr">
        <is>
          <t>2026-09</t>
        </is>
      </c>
      <c r="D431" s="2" t="n">
        <v>36.445</v>
      </c>
      <c r="E431" s="2" t="n">
        <v>50</v>
      </c>
      <c r="F431" s="2" t="n">
        <v>37</v>
      </c>
      <c r="G431" s="2" t="n">
        <v>55.444</v>
      </c>
      <c r="H431">
        <f>ISNUMBER(F431)</f>
        <v/>
      </c>
      <c r="I431" s="2">
        <f>E431-D431</f>
        <v/>
      </c>
      <c r="J431" s="2">
        <f>IF(ISNUMBER(F431),F431-D431,"")</f>
        <v/>
      </c>
      <c r="K431" s="2">
        <f>G431-D431</f>
        <v/>
      </c>
      <c r="L431" s="2">
        <f>ABS(I431)</f>
        <v/>
      </c>
      <c r="M431" s="2">
        <f>IF(ISNUMBER(F431),ABS(F431-D431),"")</f>
        <v/>
      </c>
      <c r="N431" s="2">
        <f>ABS(K431)</f>
        <v/>
      </c>
      <c r="O431" s="3">
        <f>IF(D431=0,"",(E431-D431)/D431)</f>
        <v/>
      </c>
      <c r="P431" s="3">
        <f>IF(ISNUMBER(F431),IF(D431=0,"",(F431-D431)/D431),"")</f>
        <v/>
      </c>
      <c r="Q431" s="3">
        <f>IF(D431=0,"",(G431-D431)/D431)</f>
        <v/>
      </c>
    </row>
    <row r="432">
      <c r="A432" t="inlineStr">
        <is>
          <t>KW2/01/115gsm/2450mm</t>
        </is>
      </c>
      <c r="B432" t="inlineStr">
        <is>
          <t>SVIG</t>
        </is>
      </c>
      <c r="C432" t="inlineStr">
        <is>
          <t>2026-09</t>
        </is>
      </c>
      <c r="D432" s="2" t="n">
        <v>56.9</v>
      </c>
      <c r="E432" s="2" t="n">
        <v>50</v>
      </c>
      <c r="F432" s="2" t="n">
        <v>52</v>
      </c>
      <c r="G432" s="2" t="n">
        <v>41.027</v>
      </c>
      <c r="H432">
        <f>ISNUMBER(F432)</f>
        <v/>
      </c>
      <c r="I432" s="2">
        <f>E432-D432</f>
        <v/>
      </c>
      <c r="J432" s="2">
        <f>IF(ISNUMBER(F432),F432-D432,"")</f>
        <v/>
      </c>
      <c r="K432" s="2">
        <f>G432-D432</f>
        <v/>
      </c>
      <c r="L432" s="2">
        <f>ABS(I432)</f>
        <v/>
      </c>
      <c r="M432" s="2">
        <f>IF(ISNUMBER(F432),ABS(F432-D432),"")</f>
        <v/>
      </c>
      <c r="N432" s="2">
        <f>ABS(K432)</f>
        <v/>
      </c>
      <c r="O432" s="3">
        <f>IF(D432=0,"",(E432-D432)/D432)</f>
        <v/>
      </c>
      <c r="P432" s="3">
        <f>IF(ISNUMBER(F432),IF(D432=0,"",(F432-D432)/D432),"")</f>
        <v/>
      </c>
      <c r="Q432" s="3">
        <f>IF(D432=0,"",(G432-D432)/D432)</f>
        <v/>
      </c>
    </row>
    <row r="433">
      <c r="A433" t="inlineStr">
        <is>
          <t>TSL/01/100gsm/2000mm</t>
        </is>
      </c>
      <c r="B433" t="inlineStr">
        <is>
          <t>SVIG</t>
        </is>
      </c>
      <c r="C433" t="inlineStr">
        <is>
          <t>2026-09</t>
        </is>
      </c>
      <c r="D433" s="2" t="n">
        <v>25.208</v>
      </c>
      <c r="E433" s="2" t="n">
        <v>30</v>
      </c>
      <c r="F433" s="4" t="inlineStr">
        <is>
          <t>faltante</t>
        </is>
      </c>
      <c r="G433" s="2" t="n">
        <v>60.768</v>
      </c>
      <c r="H433">
        <f>ISNUMBER(F433)</f>
        <v/>
      </c>
      <c r="I433" s="2">
        <f>E433-D433</f>
        <v/>
      </c>
      <c r="J433" s="2">
        <f>IF(ISNUMBER(F433),F433-D433,"")</f>
        <v/>
      </c>
      <c r="K433" s="2">
        <f>G433-D433</f>
        <v/>
      </c>
      <c r="L433" s="2">
        <f>ABS(I433)</f>
        <v/>
      </c>
      <c r="M433" s="2">
        <f>IF(ISNUMBER(F433),ABS(F433-D433),"")</f>
        <v/>
      </c>
      <c r="N433" s="2">
        <f>ABS(K433)</f>
        <v/>
      </c>
      <c r="O433" s="3">
        <f>IF(D433=0,"",(E433-D433)/D433)</f>
        <v/>
      </c>
      <c r="P433" s="3">
        <f>IF(ISNUMBER(F433),IF(D433=0,"",(F433-D433)/D433),"")</f>
        <v/>
      </c>
      <c r="Q433" s="3">
        <f>IF(D433=0,"",(G433-D433)/D433)</f>
        <v/>
      </c>
    </row>
    <row r="434">
      <c r="A434" t="inlineStr">
        <is>
          <t>TSL/01/100gsm/2200mm</t>
        </is>
      </c>
      <c r="B434" t="inlineStr">
        <is>
          <t>SVIG</t>
        </is>
      </c>
      <c r="C434" t="inlineStr">
        <is>
          <t>2026-09</t>
        </is>
      </c>
      <c r="D434" s="2" t="n">
        <v>167.282</v>
      </c>
      <c r="E434" s="2" t="n">
        <v>175</v>
      </c>
      <c r="F434" s="2" t="n">
        <v>37</v>
      </c>
      <c r="G434" s="2" t="n">
        <v>152.458</v>
      </c>
      <c r="H434">
        <f>ISNUMBER(F434)</f>
        <v/>
      </c>
      <c r="I434" s="2">
        <f>E434-D434</f>
        <v/>
      </c>
      <c r="J434" s="2">
        <f>IF(ISNUMBER(F434),F434-D434,"")</f>
        <v/>
      </c>
      <c r="K434" s="2">
        <f>G434-D434</f>
        <v/>
      </c>
      <c r="L434" s="2">
        <f>ABS(I434)</f>
        <v/>
      </c>
      <c r="M434" s="2">
        <f>IF(ISNUMBER(F434),ABS(F434-D434),"")</f>
        <v/>
      </c>
      <c r="N434" s="2">
        <f>ABS(K434)</f>
        <v/>
      </c>
      <c r="O434" s="3">
        <f>IF(D434=0,"",(E434-D434)/D434)</f>
        <v/>
      </c>
      <c r="P434" s="3">
        <f>IF(ISNUMBER(F434),IF(D434=0,"",(F434-D434)/D434),"")</f>
        <v/>
      </c>
      <c r="Q434" s="3">
        <f>IF(D434=0,"",(G434-D434)/D434)</f>
        <v/>
      </c>
    </row>
    <row r="435">
      <c r="A435" t="inlineStr">
        <is>
          <t>TSL/01/100gsm/2450mm</t>
        </is>
      </c>
      <c r="B435" t="inlineStr">
        <is>
          <t>SVIG</t>
        </is>
      </c>
      <c r="C435" t="inlineStr">
        <is>
          <t>2026-09</t>
        </is>
      </c>
      <c r="D435" s="2" t="n">
        <v>174.108</v>
      </c>
      <c r="E435" s="2" t="n">
        <v>210</v>
      </c>
      <c r="F435" s="2" t="n">
        <v>43</v>
      </c>
      <c r="G435" s="2" t="n">
        <v>209.771</v>
      </c>
      <c r="H435">
        <f>ISNUMBER(F435)</f>
        <v/>
      </c>
      <c r="I435" s="2">
        <f>E435-D435</f>
        <v/>
      </c>
      <c r="J435" s="2">
        <f>IF(ISNUMBER(F435),F435-D435,"")</f>
        <v/>
      </c>
      <c r="K435" s="2">
        <f>G435-D435</f>
        <v/>
      </c>
      <c r="L435" s="2">
        <f>ABS(I435)</f>
        <v/>
      </c>
      <c r="M435" s="2">
        <f>IF(ISNUMBER(F435),ABS(F435-D435),"")</f>
        <v/>
      </c>
      <c r="N435" s="2">
        <f>ABS(K435)</f>
        <v/>
      </c>
      <c r="O435" s="3">
        <f>IF(D435=0,"",(E435-D435)/D435)</f>
        <v/>
      </c>
      <c r="P435" s="3">
        <f>IF(ISNUMBER(F435),IF(D435=0,"",(F435-D435)/D435),"")</f>
        <v/>
      </c>
      <c r="Q435" s="3">
        <f>IF(D435=0,"",(G435-D435)/D435)</f>
        <v/>
      </c>
    </row>
    <row r="436">
      <c r="A436" t="inlineStr">
        <is>
          <t>TSL/01/125gsm/2000mm</t>
        </is>
      </c>
      <c r="B436" t="inlineStr">
        <is>
          <t>SVIG</t>
        </is>
      </c>
      <c r="C436" t="inlineStr">
        <is>
          <t>2026-09</t>
        </is>
      </c>
      <c r="D436" s="2" t="n">
        <v>17.976</v>
      </c>
      <c r="E436" s="2" t="n">
        <v>35</v>
      </c>
      <c r="F436" s="4" t="inlineStr">
        <is>
          <t>faltante</t>
        </is>
      </c>
      <c r="G436" s="2" t="n">
        <v>56.123</v>
      </c>
      <c r="H436">
        <f>ISNUMBER(F436)</f>
        <v/>
      </c>
      <c r="I436" s="2">
        <f>E436-D436</f>
        <v/>
      </c>
      <c r="J436" s="2">
        <f>IF(ISNUMBER(F436),F436-D436,"")</f>
        <v/>
      </c>
      <c r="K436" s="2">
        <f>G436-D436</f>
        <v/>
      </c>
      <c r="L436" s="2">
        <f>ABS(I436)</f>
        <v/>
      </c>
      <c r="M436" s="2">
        <f>IF(ISNUMBER(F436),ABS(F436-D436),"")</f>
        <v/>
      </c>
      <c r="N436" s="2">
        <f>ABS(K436)</f>
        <v/>
      </c>
      <c r="O436" s="3">
        <f>IF(D436=0,"",(E436-D436)/D436)</f>
        <v/>
      </c>
      <c r="P436" s="3">
        <f>IF(ISNUMBER(F436),IF(D436=0,"",(F436-D436)/D436),"")</f>
        <v/>
      </c>
      <c r="Q436" s="3">
        <f>IF(D436=0,"",(G436-D436)/D436)</f>
        <v/>
      </c>
    </row>
    <row r="437">
      <c r="A437" t="inlineStr">
        <is>
          <t>TSL/01/125gsm/2200mm</t>
        </is>
      </c>
      <c r="B437" t="inlineStr">
        <is>
          <t>SVIG</t>
        </is>
      </c>
      <c r="C437" t="inlineStr">
        <is>
          <t>2026-09</t>
        </is>
      </c>
      <c r="D437" s="2" t="n">
        <v>137.336</v>
      </c>
      <c r="E437" s="2" t="n">
        <v>120</v>
      </c>
      <c r="F437" s="2" t="n">
        <v>102</v>
      </c>
      <c r="G437" s="2" t="n">
        <v>122.901</v>
      </c>
      <c r="H437">
        <f>ISNUMBER(F437)</f>
        <v/>
      </c>
      <c r="I437" s="2">
        <f>E437-D437</f>
        <v/>
      </c>
      <c r="J437" s="2">
        <f>IF(ISNUMBER(F437),F437-D437,"")</f>
        <v/>
      </c>
      <c r="K437" s="2">
        <f>G437-D437</f>
        <v/>
      </c>
      <c r="L437" s="2">
        <f>ABS(I437)</f>
        <v/>
      </c>
      <c r="M437" s="2">
        <f>IF(ISNUMBER(F437),ABS(F437-D437),"")</f>
        <v/>
      </c>
      <c r="N437" s="2">
        <f>ABS(K437)</f>
        <v/>
      </c>
      <c r="O437" s="3">
        <f>IF(D437=0,"",(E437-D437)/D437)</f>
        <v/>
      </c>
      <c r="P437" s="3">
        <f>IF(ISNUMBER(F437),IF(D437=0,"",(F437-D437)/D437),"")</f>
        <v/>
      </c>
      <c r="Q437" s="3">
        <f>IF(D437=0,"",(G437-D437)/D437)</f>
        <v/>
      </c>
    </row>
    <row r="438">
      <c r="A438" t="inlineStr">
        <is>
          <t>TSL/01/125gsm/2450mm</t>
        </is>
      </c>
      <c r="B438" t="inlineStr">
        <is>
          <t>SVIG</t>
        </is>
      </c>
      <c r="C438" t="inlineStr">
        <is>
          <t>2026-09</t>
        </is>
      </c>
      <c r="D438" s="2" t="n">
        <v>74.992</v>
      </c>
      <c r="E438" s="2" t="n">
        <v>115</v>
      </c>
      <c r="F438" s="2" t="n">
        <v>112</v>
      </c>
      <c r="G438" s="2" t="n">
        <v>111.031</v>
      </c>
      <c r="H438">
        <f>ISNUMBER(F438)</f>
        <v/>
      </c>
      <c r="I438" s="2">
        <f>E438-D438</f>
        <v/>
      </c>
      <c r="J438" s="2">
        <f>IF(ISNUMBER(F438),F438-D438,"")</f>
        <v/>
      </c>
      <c r="K438" s="2">
        <f>G438-D438</f>
        <v/>
      </c>
      <c r="L438" s="2">
        <f>ABS(I438)</f>
        <v/>
      </c>
      <c r="M438" s="2">
        <f>IF(ISNUMBER(F438),ABS(F438-D438),"")</f>
        <v/>
      </c>
      <c r="N438" s="2">
        <f>ABS(K438)</f>
        <v/>
      </c>
      <c r="O438" s="3">
        <f>IF(D438=0,"",(E438-D438)/D438)</f>
        <v/>
      </c>
      <c r="P438" s="3">
        <f>IF(ISNUMBER(F438),IF(D438=0,"",(F438-D438)/D438),"")</f>
        <v/>
      </c>
      <c r="Q438" s="3">
        <f>IF(D438=0,"",(G438-D438)/D438)</f>
        <v/>
      </c>
    </row>
    <row r="439">
      <c r="A439" t="inlineStr">
        <is>
          <t>TSL/01/150gsm/2200mm</t>
        </is>
      </c>
      <c r="B439" t="inlineStr">
        <is>
          <t>SVIG</t>
        </is>
      </c>
      <c r="C439" t="inlineStr">
        <is>
          <t>2026-09</t>
        </is>
      </c>
      <c r="D439" s="2" t="n">
        <v>29.741</v>
      </c>
      <c r="E439" s="2" t="n">
        <v>40</v>
      </c>
      <c r="F439" s="2" t="n">
        <v>64</v>
      </c>
      <c r="G439" s="2" t="n">
        <v>31.972</v>
      </c>
      <c r="H439">
        <f>ISNUMBER(F439)</f>
        <v/>
      </c>
      <c r="I439" s="2">
        <f>E439-D439</f>
        <v/>
      </c>
      <c r="J439" s="2">
        <f>IF(ISNUMBER(F439),F439-D439,"")</f>
        <v/>
      </c>
      <c r="K439" s="2">
        <f>G439-D439</f>
        <v/>
      </c>
      <c r="L439" s="2">
        <f>ABS(I439)</f>
        <v/>
      </c>
      <c r="M439" s="2">
        <f>IF(ISNUMBER(F439),ABS(F439-D439),"")</f>
        <v/>
      </c>
      <c r="N439" s="2">
        <f>ABS(K439)</f>
        <v/>
      </c>
      <c r="O439" s="3">
        <f>IF(D439=0,"",(E439-D439)/D439)</f>
        <v/>
      </c>
      <c r="P439" s="3">
        <f>IF(ISNUMBER(F439),IF(D439=0,"",(F439-D439)/D439),"")</f>
        <v/>
      </c>
      <c r="Q439" s="3">
        <f>IF(D439=0,"",(G439-D439)/D439)</f>
        <v/>
      </c>
    </row>
    <row r="440">
      <c r="A440" t="inlineStr">
        <is>
          <t>TSL/01/80gsm/2200mm</t>
        </is>
      </c>
      <c r="B440" t="inlineStr">
        <is>
          <t>SVIG</t>
        </is>
      </c>
      <c r="C440" t="inlineStr">
        <is>
          <t>2026-09</t>
        </is>
      </c>
      <c r="D440" s="2" t="n">
        <v>132.264</v>
      </c>
      <c r="E440" s="2" t="n">
        <v>140</v>
      </c>
      <c r="F440" s="2" t="n">
        <v>38</v>
      </c>
      <c r="G440" s="2" t="n">
        <v>120.49</v>
      </c>
      <c r="H440">
        <f>ISNUMBER(F440)</f>
        <v/>
      </c>
      <c r="I440" s="2">
        <f>E440-D440</f>
        <v/>
      </c>
      <c r="J440" s="2">
        <f>IF(ISNUMBER(F440),F440-D440,"")</f>
        <v/>
      </c>
      <c r="K440" s="2">
        <f>G440-D440</f>
        <v/>
      </c>
      <c r="L440" s="2">
        <f>ABS(I440)</f>
        <v/>
      </c>
      <c r="M440" s="2">
        <f>IF(ISNUMBER(F440),ABS(F440-D440),"")</f>
        <v/>
      </c>
      <c r="N440" s="2">
        <f>ABS(K440)</f>
        <v/>
      </c>
      <c r="O440" s="3">
        <f>IF(D440=0,"",(E440-D440)/D440)</f>
        <v/>
      </c>
      <c r="P440" s="3">
        <f>IF(ISNUMBER(F440),IF(D440=0,"",(F440-D440)/D440),"")</f>
        <v/>
      </c>
      <c r="Q440" s="3">
        <f>IF(D440=0,"",(G440-D440)/D440)</f>
        <v/>
      </c>
    </row>
    <row r="441">
      <c r="A441" t="inlineStr">
        <is>
          <t>TSL/01/80gsm/2300mm</t>
        </is>
      </c>
      <c r="B441" t="inlineStr">
        <is>
          <t>SVIG</t>
        </is>
      </c>
      <c r="C441" t="inlineStr">
        <is>
          <t>2026-09</t>
        </is>
      </c>
      <c r="D441" s="2" t="n">
        <v>68.14400000000001</v>
      </c>
      <c r="E441" s="2" t="n">
        <v>55</v>
      </c>
      <c r="F441" s="4" t="inlineStr">
        <is>
          <t>faltante</t>
        </is>
      </c>
      <c r="G441" s="2" t="n">
        <v>48.764</v>
      </c>
      <c r="H441">
        <f>ISNUMBER(F441)</f>
        <v/>
      </c>
      <c r="I441" s="2">
        <f>E441-D441</f>
        <v/>
      </c>
      <c r="J441" s="2">
        <f>IF(ISNUMBER(F441),F441-D441,"")</f>
        <v/>
      </c>
      <c r="K441" s="2">
        <f>G441-D441</f>
        <v/>
      </c>
      <c r="L441" s="2">
        <f>ABS(I441)</f>
        <v/>
      </c>
      <c r="M441" s="2">
        <f>IF(ISNUMBER(F441),ABS(F441-D441),"")</f>
        <v/>
      </c>
      <c r="N441" s="2">
        <f>ABS(K441)</f>
        <v/>
      </c>
      <c r="O441" s="3">
        <f>IF(D441=0,"",(E441-D441)/D441)</f>
        <v/>
      </c>
      <c r="P441" s="3">
        <f>IF(ISNUMBER(F441),IF(D441=0,"",(F441-D441)/D441),"")</f>
        <v/>
      </c>
      <c r="Q441" s="3">
        <f>IF(D441=0,"",(G441-D441)/D441)</f>
        <v/>
      </c>
    </row>
    <row r="442">
      <c r="A442" t="inlineStr">
        <is>
          <t>TSL/01/80gsm/2450mm</t>
        </is>
      </c>
      <c r="B442" t="inlineStr">
        <is>
          <t>SVIG</t>
        </is>
      </c>
      <c r="C442" t="inlineStr">
        <is>
          <t>2026-09</t>
        </is>
      </c>
      <c r="D442" s="2" t="n">
        <v>297.334</v>
      </c>
      <c r="E442" s="2" t="n">
        <v>320</v>
      </c>
      <c r="F442" s="2" t="n">
        <v>80</v>
      </c>
      <c r="G442" s="2" t="n">
        <v>264.176</v>
      </c>
      <c r="H442">
        <f>ISNUMBER(F442)</f>
        <v/>
      </c>
      <c r="I442" s="2">
        <f>E442-D442</f>
        <v/>
      </c>
      <c r="J442" s="2">
        <f>IF(ISNUMBER(F442),F442-D442,"")</f>
        <v/>
      </c>
      <c r="K442" s="2">
        <f>G442-D442</f>
        <v/>
      </c>
      <c r="L442" s="2">
        <f>ABS(I442)</f>
        <v/>
      </c>
      <c r="M442" s="2">
        <f>IF(ISNUMBER(F442),ABS(F442-D442),"")</f>
        <v/>
      </c>
      <c r="N442" s="2">
        <f>ABS(K442)</f>
        <v/>
      </c>
      <c r="O442" s="3">
        <f>IF(D442=0,"",(E442-D442)/D442)</f>
        <v/>
      </c>
      <c r="P442" s="3">
        <f>IF(ISNUMBER(F442),IF(D442=0,"",(F442-D442)/D442),"")</f>
        <v/>
      </c>
      <c r="Q442" s="3">
        <f>IF(D442=0,"",(G442-D442)/D442)</f>
        <v/>
      </c>
    </row>
    <row r="443">
      <c r="A443" t="inlineStr">
        <is>
          <t>TWTC2/51/115gsm/2200mm</t>
        </is>
      </c>
      <c r="B443" t="inlineStr">
        <is>
          <t>SVIG</t>
        </is>
      </c>
      <c r="C443" t="inlineStr">
        <is>
          <t>2026-09</t>
        </is>
      </c>
      <c r="D443" s="2" t="n">
        <v>44.971</v>
      </c>
      <c r="E443" s="2" t="n">
        <v>55</v>
      </c>
      <c r="F443" s="2" t="n">
        <v>52</v>
      </c>
      <c r="G443" s="2" t="n">
        <v>37.912</v>
      </c>
      <c r="H443">
        <f>ISNUMBER(F443)</f>
        <v/>
      </c>
      <c r="I443" s="2">
        <f>E443-D443</f>
        <v/>
      </c>
      <c r="J443" s="2">
        <f>IF(ISNUMBER(F443),F443-D443,"")</f>
        <v/>
      </c>
      <c r="K443" s="2">
        <f>G443-D443</f>
        <v/>
      </c>
      <c r="L443" s="2">
        <f>ABS(I443)</f>
        <v/>
      </c>
      <c r="M443" s="2">
        <f>IF(ISNUMBER(F443),ABS(F443-D443),"")</f>
        <v/>
      </c>
      <c r="N443" s="2">
        <f>ABS(K443)</f>
        <v/>
      </c>
      <c r="O443" s="3">
        <f>IF(D443=0,"",(E443-D443)/D443)</f>
        <v/>
      </c>
      <c r="P443" s="3">
        <f>IF(ISNUMBER(F443),IF(D443=0,"",(F443-D443)/D443),"")</f>
        <v/>
      </c>
      <c r="Q443" s="3">
        <f>IF(D443=0,"",(G443-D443)/D443)</f>
        <v/>
      </c>
    </row>
    <row r="444">
      <c r="A444" t="inlineStr">
        <is>
          <t>TWTC2/51/115gsm/2450mm</t>
        </is>
      </c>
      <c r="B444" t="inlineStr">
        <is>
          <t>SVIG</t>
        </is>
      </c>
      <c r="C444" t="inlineStr">
        <is>
          <t>2026-09</t>
        </is>
      </c>
      <c r="D444" s="2" t="n">
        <v>58.324</v>
      </c>
      <c r="E444" s="2" t="n">
        <v>50</v>
      </c>
      <c r="F444" s="2" t="n">
        <v>60</v>
      </c>
      <c r="G444" s="2" t="n">
        <v>58.263</v>
      </c>
      <c r="H444">
        <f>ISNUMBER(F444)</f>
        <v/>
      </c>
      <c r="I444" s="2">
        <f>E444-D444</f>
        <v/>
      </c>
      <c r="J444" s="2">
        <f>IF(ISNUMBER(F444),F444-D444,"")</f>
        <v/>
      </c>
      <c r="K444" s="2">
        <f>G444-D444</f>
        <v/>
      </c>
      <c r="L444" s="2">
        <f>ABS(I444)</f>
        <v/>
      </c>
      <c r="M444" s="2">
        <f>IF(ISNUMBER(F444),ABS(F444-D444),"")</f>
        <v/>
      </c>
      <c r="N444" s="2">
        <f>ABS(K444)</f>
        <v/>
      </c>
      <c r="O444" s="3">
        <f>IF(D444=0,"",(E444-D444)/D444)</f>
        <v/>
      </c>
      <c r="P444" s="3">
        <f>IF(ISNUMBER(F444),IF(D444=0,"",(F444-D444)/D444),"")</f>
        <v/>
      </c>
      <c r="Q444" s="3">
        <f>IF(D444=0,"",(G444-D444)/D444)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31" customWidth="1" min="5" max="5"/>
    <col width="70" customWidth="1" min="6" max="6"/>
  </cols>
  <sheetData>
    <row r="1" ht="32" customHeight="1">
      <c r="A1" s="1" t="inlineStr">
        <is>
          <t>SKU</t>
        </is>
      </c>
      <c r="B1" s="1" t="inlineStr">
        <is>
          <t>Planta</t>
        </is>
      </c>
      <c r="C1" s="1" t="inlineStr">
        <is>
          <t>Mes</t>
        </is>
      </c>
      <c r="D1" s="1" t="inlineStr">
        <is>
          <t>Planificador (TO)</t>
        </is>
      </c>
      <c r="E1" s="1" t="inlineStr">
        <is>
          <t>Motivo</t>
        </is>
      </c>
      <c r="F1" s="1" t="inlineStr">
        <is>
          <t>Explicación</t>
        </is>
      </c>
    </row>
    <row r="2">
      <c r="A2" t="inlineStr">
        <is>
          <t>TSL/01/100gsm/2200mm</t>
        </is>
      </c>
      <c r="B2" t="inlineStr">
        <is>
          <t>PCEL</t>
        </is>
      </c>
      <c r="C2" t="inlineStr">
        <is>
          <t>2026-09</t>
        </is>
      </c>
      <c r="D2" s="2" t="n">
        <v>90</v>
      </c>
      <c r="E2" t="inlineStr">
        <is>
          <t>Menos de 3 meses de historia</t>
        </is>
      </c>
      <c r="F2" t="inlineStr">
        <is>
          <t>El SKU tiene solo 2 meses de consumo antes del mes pronosticado y el modelo necesita al menos 3.</t>
        </is>
      </c>
    </row>
    <row r="3">
      <c r="A3" t="inlineStr">
        <is>
          <t>TSL/01/100gsm/2450mm</t>
        </is>
      </c>
      <c r="B3" t="inlineStr">
        <is>
          <t>PCEL</t>
        </is>
      </c>
      <c r="C3" t="inlineStr">
        <is>
          <t>2026-09</t>
        </is>
      </c>
      <c r="D3" s="2" t="n">
        <v>190</v>
      </c>
      <c r="E3" t="inlineStr">
        <is>
          <t>Menos de 3 meses de historia</t>
        </is>
      </c>
      <c r="F3" t="inlineStr">
        <is>
          <t>El SKU tiene solo 2 meses de consumo antes del mes pronosticado y el modelo necesita al menos 3.</t>
        </is>
      </c>
    </row>
    <row r="4">
      <c r="A4" t="inlineStr">
        <is>
          <t>TW2000/51/115gsm/2200mm</t>
        </is>
      </c>
      <c r="B4" t="inlineStr">
        <is>
          <t>PCEL</t>
        </is>
      </c>
      <c r="C4" t="inlineStr">
        <is>
          <t>2026-09</t>
        </is>
      </c>
      <c r="D4" s="2" t="n">
        <v>45</v>
      </c>
      <c r="E4" t="inlineStr">
        <is>
          <t>Menos de 3 meses de historia</t>
        </is>
      </c>
      <c r="F4" t="inlineStr">
        <is>
          <t>El SKU tiene solo 2 meses de consumo antes del mes pronosticado y el modelo necesita al menos 3.</t>
        </is>
      </c>
    </row>
    <row r="5">
      <c r="A5" t="inlineStr">
        <is>
          <t>TW2000/51/115gsm/2450mm</t>
        </is>
      </c>
      <c r="B5" t="inlineStr">
        <is>
          <t>PCEL</t>
        </is>
      </c>
      <c r="C5" t="inlineStr">
        <is>
          <t>2026-09</t>
        </is>
      </c>
      <c r="D5" s="2" t="n">
        <v>60</v>
      </c>
      <c r="E5" t="inlineStr">
        <is>
          <t>Menos de 3 meses de historia</t>
        </is>
      </c>
      <c r="F5" t="inlineStr">
        <is>
          <t>El SKU tiene solo 2 meses de consumo antes del mes pronosticado y el modelo necesita al menos 3.</t>
        </is>
      </c>
    </row>
    <row r="6">
      <c r="A6" t="inlineStr">
        <is>
          <t>HP2/01/155gsm/2500mm</t>
        </is>
      </c>
      <c r="B6" t="inlineStr">
        <is>
          <t>SALC</t>
        </is>
      </c>
      <c r="C6" t="inlineStr">
        <is>
          <t>2026-09</t>
        </is>
      </c>
      <c r="D6" s="2" t="n">
        <v>110</v>
      </c>
      <c r="E6" t="inlineStr">
        <is>
          <t>Modelo interno sin pronóstico</t>
        </is>
      </c>
      <c r="F6" t="inlineStr">
        <is>
          <t>El modelo interno tiene 0 en todos los meses para este SKU; se toma como sin pronóstico. Se muestra como faltante en la hoja de comparación y no cuenta en las métricas.</t>
        </is>
      </c>
    </row>
    <row r="7">
      <c r="A7" t="inlineStr">
        <is>
          <t>KW2/01/160gsm/2500mm</t>
        </is>
      </c>
      <c r="B7" t="inlineStr">
        <is>
          <t>SALC</t>
        </is>
      </c>
      <c r="C7" t="inlineStr">
        <is>
          <t>2026-09</t>
        </is>
      </c>
      <c r="D7" s="2" t="n">
        <v>150</v>
      </c>
      <c r="E7" t="inlineStr">
        <is>
          <t>Modelo interno sin pronóstico</t>
        </is>
      </c>
      <c r="F7" t="inlineStr">
        <is>
          <t>El modelo interno tiene 0 en todos los meses para este SKU; se toma como sin pronóstico. Se muestra como faltante en la hoja de comparación y no cuenta en las métricas.</t>
        </is>
      </c>
    </row>
    <row r="8">
      <c r="A8" t="inlineStr">
        <is>
          <t>TW2000/51/115gsm/2000mm</t>
        </is>
      </c>
      <c r="B8" t="inlineStr">
        <is>
          <t>SALC</t>
        </is>
      </c>
      <c r="C8" t="inlineStr">
        <is>
          <t>2026-09</t>
        </is>
      </c>
      <c r="D8" s="2" t="n">
        <v>25</v>
      </c>
      <c r="E8" t="inlineStr">
        <is>
          <t>Modelo interno sin pronóstico</t>
        </is>
      </c>
      <c r="F8" t="inlineStr">
        <is>
          <t>El SKU no está en el archivo del modelo interno. Se muestra como faltante en la hoja de comparación y no cuenta en las métricas.</t>
        </is>
      </c>
    </row>
    <row r="9">
      <c r="A9" t="inlineStr">
        <is>
          <t>HP2/01/115gsm/1790mm</t>
        </is>
      </c>
      <c r="B9" t="inlineStr">
        <is>
          <t>SALI</t>
        </is>
      </c>
      <c r="C9" t="inlineStr">
        <is>
          <t>2026-09</t>
        </is>
      </c>
      <c r="D9" s="2" t="n">
        <v>88</v>
      </c>
      <c r="E9" t="inlineStr">
        <is>
          <t>Modelo interno sin pronóstico</t>
        </is>
      </c>
      <c r="F9" t="inlineStr">
        <is>
          <t>El modelo interno tiene 0 en todos los meses para este SKU; se toma como sin pronóstico. Se muestra como faltante en la hoja de comparación y no cuenta en las métricas.</t>
        </is>
      </c>
    </row>
    <row r="10">
      <c r="A10" t="inlineStr">
        <is>
          <t>HP2/01/115gsm/1850mm</t>
        </is>
      </c>
      <c r="B10" t="inlineStr">
        <is>
          <t>SALI</t>
        </is>
      </c>
      <c r="C10" t="inlineStr">
        <is>
          <t>2026-09</t>
        </is>
      </c>
      <c r="D10" s="2" t="n">
        <v>110</v>
      </c>
      <c r="E10" t="inlineStr">
        <is>
          <t>Modelo interno sin pronóstico</t>
        </is>
      </c>
      <c r="F10" t="inlineStr">
        <is>
          <t>El modelo interno tiene 0 en todos los meses para este SKU; se toma como sin pronóstico. Se muestra como faltante en la hoja de comparación y no cuenta en las métricas.</t>
        </is>
      </c>
    </row>
    <row r="11">
      <c r="A11" t="inlineStr">
        <is>
          <t>HP2/01/115gsm/1955mm</t>
        </is>
      </c>
      <c r="B11" t="inlineStr">
        <is>
          <t>SALI</t>
        </is>
      </c>
      <c r="C11" t="inlineStr">
        <is>
          <t>2026-09</t>
        </is>
      </c>
      <c r="D11" s="2" t="n">
        <v>90</v>
      </c>
      <c r="E11" t="inlineStr">
        <is>
          <t>Modelo interno sin pronóstico</t>
        </is>
      </c>
      <c r="F11" t="inlineStr">
        <is>
          <t>El modelo interno tiene 0 en todos los meses para este SKU; se toma como sin pronóstico. Se muestra como faltante en la hoja de comparación y no cuenta en las métricas.</t>
        </is>
      </c>
    </row>
    <row r="12">
      <c r="A12" t="inlineStr">
        <is>
          <t>HP2/01/115gsm/2040mm</t>
        </is>
      </c>
      <c r="B12" t="inlineStr">
        <is>
          <t>SALI</t>
        </is>
      </c>
      <c r="C12" t="inlineStr">
        <is>
          <t>2026-09</t>
        </is>
      </c>
      <c r="D12" s="2" t="n">
        <v>56</v>
      </c>
      <c r="E12" t="inlineStr">
        <is>
          <t>Modelo interno sin pronóstico</t>
        </is>
      </c>
      <c r="F12" t="inlineStr">
        <is>
          <t>El modelo interno tiene 0 en todos los meses para este SKU; se toma como sin pronóstico. Se muestra como faltante en la hoja de comparación y no cuenta en las métricas.</t>
        </is>
      </c>
    </row>
    <row r="13">
      <c r="A13" t="inlineStr">
        <is>
          <t>HP2/01/115gsm/2150mm</t>
        </is>
      </c>
      <c r="B13" t="inlineStr">
        <is>
          <t>SALI</t>
        </is>
      </c>
      <c r="C13" t="inlineStr">
        <is>
          <t>2026-09</t>
        </is>
      </c>
      <c r="D13" s="2" t="n">
        <v>58</v>
      </c>
      <c r="E13" t="inlineStr">
        <is>
          <t>Modelo interno sin pronóstico</t>
        </is>
      </c>
      <c r="F13" t="inlineStr">
        <is>
          <t>El modelo interno tiene 0 en todos los meses para este SKU; se toma como sin pronóstico. Se muestra como faltante en la hoja de comparación y no cuenta en las métricas.</t>
        </is>
      </c>
    </row>
    <row r="14">
      <c r="A14" t="inlineStr">
        <is>
          <t>HP2/01/115gsm/2250mm</t>
        </is>
      </c>
      <c r="B14" t="inlineStr">
        <is>
          <t>SALI</t>
        </is>
      </c>
      <c r="C14" t="inlineStr">
        <is>
          <t>2026-09</t>
        </is>
      </c>
      <c r="D14" s="2" t="n">
        <v>54</v>
      </c>
      <c r="E14" t="inlineStr">
        <is>
          <t>Modelo interno sin pronóstico</t>
        </is>
      </c>
      <c r="F14" t="inlineStr">
        <is>
          <t>El modelo interno tiene 0 en todos los meses para este SKU; se toma como sin pronóstico. Se muestra como faltante en la hoja de comparación y no cuenta en las métricas.</t>
        </is>
      </c>
    </row>
    <row r="15">
      <c r="A15" t="inlineStr">
        <is>
          <t>HP2/01/115gsm/2370mm</t>
        </is>
      </c>
      <c r="B15" t="inlineStr">
        <is>
          <t>SALI</t>
        </is>
      </c>
      <c r="C15" t="inlineStr">
        <is>
          <t>2026-09</t>
        </is>
      </c>
      <c r="D15" s="2" t="n">
        <v>35</v>
      </c>
      <c r="E15" t="inlineStr">
        <is>
          <t>Modelo interno sin pronóstico</t>
        </is>
      </c>
      <c r="F15" t="inlineStr">
        <is>
          <t>El modelo interno tiene 0 en todos los meses para este SKU; se toma como sin pronóstico. Se muestra como faltante en la hoja de comparación y no cuenta en las métricas.</t>
        </is>
      </c>
    </row>
    <row r="16">
      <c r="A16" t="inlineStr">
        <is>
          <t>HP2/01/115gsm/2440mm</t>
        </is>
      </c>
      <c r="B16" t="inlineStr">
        <is>
          <t>SALI</t>
        </is>
      </c>
      <c r="C16" t="inlineStr">
        <is>
          <t>2026-09</t>
        </is>
      </c>
      <c r="D16" s="2" t="n">
        <v>79</v>
      </c>
      <c r="E16" t="inlineStr">
        <is>
          <t>Modelo interno sin pronóstico</t>
        </is>
      </c>
      <c r="F16" t="inlineStr">
        <is>
          <t>El modelo interno tiene 0 en todos los meses para este SKU; se toma como sin pronóstico. Se muestra como faltante en la hoja de comparación y no cuenta en las métricas.</t>
        </is>
      </c>
    </row>
    <row r="17">
      <c r="A17" t="inlineStr">
        <is>
          <t>KW2/01/115gsm/1850mm</t>
        </is>
      </c>
      <c r="B17" t="inlineStr">
        <is>
          <t>SALI</t>
        </is>
      </c>
      <c r="C17" t="inlineStr">
        <is>
          <t>2026-09</t>
        </is>
      </c>
      <c r="D17" s="2" t="n">
        <v>42</v>
      </c>
      <c r="E17" t="inlineStr">
        <is>
          <t>Modelo interno sin pronóstico</t>
        </is>
      </c>
      <c r="F17" t="inlineStr">
        <is>
          <t>El modelo interno tiene 0 en todos los meses para este SKU; se toma como sin pronóstico. Se muestra como faltante en la hoja de comparación y no cuenta en las métricas.</t>
        </is>
      </c>
    </row>
    <row r="18">
      <c r="A18" t="inlineStr">
        <is>
          <t>KW2/01/115gsm/1955mm</t>
        </is>
      </c>
      <c r="B18" t="inlineStr">
        <is>
          <t>SALI</t>
        </is>
      </c>
      <c r="C18" t="inlineStr">
        <is>
          <t>2026-09</t>
        </is>
      </c>
      <c r="D18" s="2" t="n">
        <v>12</v>
      </c>
      <c r="E18" t="inlineStr">
        <is>
          <t>Modelo interno sin pronóstico</t>
        </is>
      </c>
      <c r="F18" t="inlineStr">
        <is>
          <t>El modelo interno tiene 0 en todos los meses para este SKU; se toma como sin pronóstico. Se muestra como faltante en la hoja de comparación y no cuenta en las métricas.</t>
        </is>
      </c>
    </row>
    <row r="19">
      <c r="A19" t="inlineStr">
        <is>
          <t>KW2/01/115gsm/2250mm</t>
        </is>
      </c>
      <c r="B19" t="inlineStr">
        <is>
          <t>SALI</t>
        </is>
      </c>
      <c r="C19" t="inlineStr">
        <is>
          <t>2026-09</t>
        </is>
      </c>
      <c r="D19" s="2" t="n">
        <v>35</v>
      </c>
      <c r="E19" t="inlineStr">
        <is>
          <t>Modelo interno sin pronóstico</t>
        </is>
      </c>
      <c r="F19" t="inlineStr">
        <is>
          <t>El modelo interno tiene 0 en todos los meses para este SKU; se toma como sin pronóstico. Se muestra como faltante en la hoja de comparación y no cuenta en las métricas.</t>
        </is>
      </c>
    </row>
    <row r="20">
      <c r="A20" t="inlineStr">
        <is>
          <t>HP2/01/115gsm/1850mm</t>
        </is>
      </c>
      <c r="B20" t="inlineStr">
        <is>
          <t>SALM</t>
        </is>
      </c>
      <c r="C20" t="inlineStr">
        <is>
          <t>2026-09</t>
        </is>
      </c>
      <c r="D20" s="2" t="n">
        <v>120</v>
      </c>
      <c r="E20" t="inlineStr">
        <is>
          <t>Modelo interno sin pronóstico</t>
        </is>
      </c>
      <c r="F20" t="inlineStr">
        <is>
          <t>El modelo interno tiene 0 en todos los meses para este SKU; se toma como sin pronóstico. Se muestra como faltante en la hoja de comparación y no cuenta en las métricas.</t>
        </is>
      </c>
    </row>
    <row r="21">
      <c r="A21" t="inlineStr">
        <is>
          <t>HP2/01/115gsm/1955mm</t>
        </is>
      </c>
      <c r="B21" t="inlineStr">
        <is>
          <t>SALM</t>
        </is>
      </c>
      <c r="C21" t="inlineStr">
        <is>
          <t>2026-09</t>
        </is>
      </c>
      <c r="D21" s="2" t="n">
        <v>130</v>
      </c>
      <c r="E21" t="inlineStr">
        <is>
          <t>Modelo interno sin pronóstico</t>
        </is>
      </c>
      <c r="F21" t="inlineStr">
        <is>
          <t>El modelo interno tiene 0 en todos los meses para este SKU; se toma como sin pronóstico. Se muestra como faltante en la hoja de comparación y no cuenta en las métricas.</t>
        </is>
      </c>
    </row>
    <row r="22">
      <c r="A22" t="inlineStr">
        <is>
          <t>HP2/01/115gsm/2040mm</t>
        </is>
      </c>
      <c r="B22" t="inlineStr">
        <is>
          <t>SALM</t>
        </is>
      </c>
      <c r="C22" t="inlineStr">
        <is>
          <t>2026-09</t>
        </is>
      </c>
      <c r="D22" s="2" t="n">
        <v>60</v>
      </c>
      <c r="E22" t="inlineStr">
        <is>
          <t>Modelo interno sin pronóstico</t>
        </is>
      </c>
      <c r="F22" t="inlineStr">
        <is>
          <t>El modelo interno tiene 0 en todos los meses para este SKU; se toma como sin pronóstico. Se muestra como faltante en la hoja de comparación y no cuenta en las métricas.</t>
        </is>
      </c>
    </row>
    <row r="23">
      <c r="A23" t="inlineStr">
        <is>
          <t>HP2/01/115gsm/2150mm</t>
        </is>
      </c>
      <c r="B23" t="inlineStr">
        <is>
          <t>SALM</t>
        </is>
      </c>
      <c r="C23" t="inlineStr">
        <is>
          <t>2026-09</t>
        </is>
      </c>
      <c r="D23" s="2" t="n">
        <v>70</v>
      </c>
      <c r="E23" t="inlineStr">
        <is>
          <t>Modelo interno sin pronóstico</t>
        </is>
      </c>
      <c r="F23" t="inlineStr">
        <is>
          <t>El modelo interno tiene 0 en todos los meses para este SKU; se toma como sin pronóstico. Se muestra como faltante en la hoja de comparación y no cuenta en las métricas.</t>
        </is>
      </c>
    </row>
    <row r="24">
      <c r="A24" t="inlineStr">
        <is>
          <t>HP2/01/115gsm/2250mm</t>
        </is>
      </c>
      <c r="B24" t="inlineStr">
        <is>
          <t>SALM</t>
        </is>
      </c>
      <c r="C24" t="inlineStr">
        <is>
          <t>2026-09</t>
        </is>
      </c>
      <c r="D24" s="2" t="n">
        <v>50</v>
      </c>
      <c r="E24" t="inlineStr">
        <is>
          <t>Modelo interno sin pronóstico</t>
        </is>
      </c>
      <c r="F24" t="inlineStr">
        <is>
          <t>El modelo interno tiene 0 en todos los meses para este SKU; se toma como sin pronóstico. Se muestra como faltante en la hoja de comparación y no cuenta en las métricas.</t>
        </is>
      </c>
    </row>
    <row r="25">
      <c r="A25" t="inlineStr">
        <is>
          <t>HP2/01/115gsm/2370mm</t>
        </is>
      </c>
      <c r="B25" t="inlineStr">
        <is>
          <t>SALM</t>
        </is>
      </c>
      <c r="C25" t="inlineStr">
        <is>
          <t>2026-09</t>
        </is>
      </c>
      <c r="D25" s="2" t="n">
        <v>30</v>
      </c>
      <c r="E25" t="inlineStr">
        <is>
          <t>Modelo interno sin pronóstico</t>
        </is>
      </c>
      <c r="F25" t="inlineStr">
        <is>
          <t>El modelo interno tiene 0 en todos los meses para este SKU; se toma como sin pronóstico. Se muestra como faltante en la hoja de comparación y no cuenta en las métricas.</t>
        </is>
      </c>
    </row>
    <row r="26">
      <c r="A26" t="inlineStr">
        <is>
          <t>HP2/01/115gsm/2440mm</t>
        </is>
      </c>
      <c r="B26" t="inlineStr">
        <is>
          <t>SALM</t>
        </is>
      </c>
      <c r="C26" t="inlineStr">
        <is>
          <t>2026-09</t>
        </is>
      </c>
      <c r="D26" s="2" t="n">
        <v>40</v>
      </c>
      <c r="E26" t="inlineStr">
        <is>
          <t>Modelo interno sin pronóstico</t>
        </is>
      </c>
      <c r="F26" t="inlineStr">
        <is>
          <t>El modelo interno tiene 0 en todos los meses para este SKU; se toma como sin pronóstico. Se muestra como faltante en la hoja de comparación y no cuenta en las métricas.</t>
        </is>
      </c>
    </row>
    <row r="27">
      <c r="A27" t="inlineStr">
        <is>
          <t>TSL/01/80gsm/2250mm</t>
        </is>
      </c>
      <c r="B27" t="inlineStr">
        <is>
          <t>SALM</t>
        </is>
      </c>
      <c r="C27" t="inlineStr">
        <is>
          <t>2026-09</t>
        </is>
      </c>
      <c r="D27" s="2" t="n">
        <v>20</v>
      </c>
      <c r="E27" t="inlineStr">
        <is>
          <t>Modelo interno sin pronóstico</t>
        </is>
      </c>
      <c r="F27" t="inlineStr">
        <is>
          <t>El SKU no está en el archivo del modelo interno. Se muestra como faltante en la hoja de comparación y no cuenta en las métricas.</t>
        </is>
      </c>
    </row>
    <row r="28">
      <c r="A28" t="inlineStr">
        <is>
          <t>HP2/01/127gsm/2640mm</t>
        </is>
      </c>
      <c r="B28" t="inlineStr">
        <is>
          <t>SBUR</t>
        </is>
      </c>
      <c r="C28" t="inlineStr">
        <is>
          <t>2026-09</t>
        </is>
      </c>
      <c r="D28" s="2" t="n">
        <v>274</v>
      </c>
      <c r="E28" t="inlineStr">
        <is>
          <t>Modelo interno sin pronóstico</t>
        </is>
      </c>
      <c r="F28" t="inlineStr">
        <is>
          <t>El modelo interno tiene 0 en todos los meses para este SKU; se toma como sin pronóstico. Se muestra como faltante en la hoja de comparación y no cuenta en las métricas.</t>
        </is>
      </c>
    </row>
    <row r="29">
      <c r="A29" t="inlineStr">
        <is>
          <t>HP2/01/127gsm/2790mm</t>
        </is>
      </c>
      <c r="B29" t="inlineStr">
        <is>
          <t>SBUR</t>
        </is>
      </c>
      <c r="C29" t="inlineStr">
        <is>
          <t>2026-09</t>
        </is>
      </c>
      <c r="D29" s="2" t="n">
        <v>306</v>
      </c>
      <c r="E29" t="inlineStr">
        <is>
          <t>Modelo interno sin pronóstico</t>
        </is>
      </c>
      <c r="F29" t="inlineStr">
        <is>
          <t>El modelo interno tiene 0 en todos los meses para este SKU; se toma como sin pronóstico. Se muestra como faltante en la hoja de comparación y no cuenta en las métricas.</t>
        </is>
      </c>
    </row>
    <row r="30">
      <c r="A30" t="inlineStr">
        <is>
          <t>HP2/01/127gsm/2640mm</t>
        </is>
      </c>
      <c r="B30" t="inlineStr">
        <is>
          <t>SCOC</t>
        </is>
      </c>
      <c r="C30" t="inlineStr">
        <is>
          <t>2026-09</t>
        </is>
      </c>
      <c r="D30" s="2" t="n">
        <v>145</v>
      </c>
      <c r="E30" t="inlineStr">
        <is>
          <t>Modelo interno sin pronóstico</t>
        </is>
      </c>
      <c r="F30" t="inlineStr">
        <is>
          <t>El modelo interno tiene 0 en todos los meses para este SKU; se toma como sin pronóstico. Se muestra como faltante en la hoja de comparación y no cuenta en las métricas.</t>
        </is>
      </c>
    </row>
    <row r="31">
      <c r="A31" t="inlineStr">
        <is>
          <t>HP2/01/127gsm/2790mm</t>
        </is>
      </c>
      <c r="B31" t="inlineStr">
        <is>
          <t>SCOC</t>
        </is>
      </c>
      <c r="C31" t="inlineStr">
        <is>
          <t>2026-09</t>
        </is>
      </c>
      <c r="D31" s="2" t="n">
        <v>175</v>
      </c>
      <c r="E31" t="inlineStr">
        <is>
          <t>Modelo interno sin pronóstico</t>
        </is>
      </c>
      <c r="F31" t="inlineStr">
        <is>
          <t>El modelo interno tiene 0 en todos los meses para este SKU; se toma como sin pronóstico. Se muestra como faltante en la hoja de comparación y no cuenta en las métricas.</t>
        </is>
      </c>
    </row>
    <row r="32">
      <c r="A32" t="inlineStr">
        <is>
          <t>KW2/01/115gsm/2200mm</t>
        </is>
      </c>
      <c r="B32" t="inlineStr">
        <is>
          <t>SCOC</t>
        </is>
      </c>
      <c r="C32" t="inlineStr">
        <is>
          <t>2026-09</t>
        </is>
      </c>
      <c r="D32" s="2" t="n">
        <v>40</v>
      </c>
      <c r="E32" t="inlineStr">
        <is>
          <t>Modelo interno sin pronóstico</t>
        </is>
      </c>
      <c r="F32" t="inlineStr">
        <is>
          <t>El modelo interno tiene 0 en todos los meses para este SKU; se toma como sin pronóstico. Se muestra como faltante en la hoja de comparación y no cuenta en las métricas.</t>
        </is>
      </c>
    </row>
    <row r="33">
      <c r="A33" t="inlineStr">
        <is>
          <t>KW2/01/115gsm/2450mm</t>
        </is>
      </c>
      <c r="B33" t="inlineStr">
        <is>
          <t>SCOC</t>
        </is>
      </c>
      <c r="C33" t="inlineStr">
        <is>
          <t>2026-09</t>
        </is>
      </c>
      <c r="D33" s="2" t="n">
        <v>65</v>
      </c>
      <c r="E33" t="inlineStr">
        <is>
          <t>Modelo interno sin pronóstico</t>
        </is>
      </c>
      <c r="F33" t="inlineStr">
        <is>
          <t>El modelo interno tiene 0 en todos los meses para este SKU; se toma como sin pronóstico. Se muestra como faltante en la hoja de comparación y no cuenta en las métricas.</t>
        </is>
      </c>
    </row>
    <row r="34">
      <c r="A34" t="inlineStr">
        <is>
          <t>KW2/01/115gsm/2650mm</t>
        </is>
      </c>
      <c r="B34" t="inlineStr">
        <is>
          <t>SCOC</t>
        </is>
      </c>
      <c r="C34" t="inlineStr">
        <is>
          <t>2026-09</t>
        </is>
      </c>
      <c r="D34" s="2" t="n">
        <v>55</v>
      </c>
      <c r="E34" t="inlineStr">
        <is>
          <t>Modelo interno sin pronóstico</t>
        </is>
      </c>
      <c r="F34" t="inlineStr">
        <is>
          <t>El modelo interno tiene 0 en todos los meses para este SKU; se toma como sin pronóstico. Se muestra como faltante en la hoja de comparación y no cuenta en las métricas.</t>
        </is>
      </c>
    </row>
    <row r="35">
      <c r="A35" t="inlineStr">
        <is>
          <t>KW2/01/115gsm/2800mm</t>
        </is>
      </c>
      <c r="B35" t="inlineStr">
        <is>
          <t>SCOC</t>
        </is>
      </c>
      <c r="C35" t="inlineStr">
        <is>
          <t>2026-09</t>
        </is>
      </c>
      <c r="D35" s="2" t="n">
        <v>85</v>
      </c>
      <c r="E35" t="inlineStr">
        <is>
          <t>Modelo interno sin pronóstico</t>
        </is>
      </c>
      <c r="F35" t="inlineStr">
        <is>
          <t>El modelo interno tiene 0 en todos los meses para este SKU; se toma como sin pronóstico. Se muestra como faltante en la hoja de comparación y no cuenta en las métricas.</t>
        </is>
      </c>
    </row>
    <row r="36">
      <c r="A36" t="inlineStr">
        <is>
          <t>HP2/01/127gsm/2640mm</t>
        </is>
      </c>
      <c r="B36" t="inlineStr">
        <is>
          <t>SQUA</t>
        </is>
      </c>
      <c r="C36" t="inlineStr">
        <is>
          <t>2026-09</t>
        </is>
      </c>
      <c r="D36" s="2" t="n">
        <v>110</v>
      </c>
      <c r="E36" t="inlineStr">
        <is>
          <t>Modelo interno sin pronóstico</t>
        </is>
      </c>
      <c r="F36" t="inlineStr">
        <is>
          <t>El modelo interno tiene 0 en todos los meses para este SKU; se toma como sin pronóstico. Se muestra como faltante en la hoja de comparación y no cuenta en las métricas.</t>
        </is>
      </c>
    </row>
    <row r="37">
      <c r="A37" t="inlineStr">
        <is>
          <t>HP2/01/127gsm/2790mm</t>
        </is>
      </c>
      <c r="B37" t="inlineStr">
        <is>
          <t>SQUA</t>
        </is>
      </c>
      <c r="C37" t="inlineStr">
        <is>
          <t>2026-09</t>
        </is>
      </c>
      <c r="D37" s="2" t="n">
        <v>270</v>
      </c>
      <c r="E37" t="inlineStr">
        <is>
          <t>Modelo interno sin pronóstico</t>
        </is>
      </c>
      <c r="F37" t="inlineStr">
        <is>
          <t>El modelo interno tiene 0 en todos los meses para este SKU; se toma como sin pronóstico. Se muestra como faltante en la hoja de comparación y no cuenta en las métricas.</t>
        </is>
      </c>
    </row>
    <row r="38">
      <c r="A38" t="inlineStr">
        <is>
          <t>K/01/125gsm/2450mm</t>
        </is>
      </c>
      <c r="B38" t="inlineStr">
        <is>
          <t>SVIG</t>
        </is>
      </c>
      <c r="C38" t="inlineStr">
        <is>
          <t>2026-09</t>
        </is>
      </c>
      <c r="D38" s="2" t="n">
        <v>35</v>
      </c>
      <c r="E38" t="inlineStr">
        <is>
          <t>Modelo interno sin pronóstico</t>
        </is>
      </c>
      <c r="F38" t="inlineStr">
        <is>
          <t>El modelo interno tiene 0 en todos los meses para este SKU; se toma como sin pronóstico. Se muestra como faltante en la hoja de comparación y no cuenta en las métricas.</t>
        </is>
      </c>
    </row>
    <row r="39">
      <c r="A39" t="inlineStr">
        <is>
          <t>TSL/01/100gsm/2000mm</t>
        </is>
      </c>
      <c r="B39" t="inlineStr">
        <is>
          <t>SVIG</t>
        </is>
      </c>
      <c r="C39" t="inlineStr">
        <is>
          <t>2026-09</t>
        </is>
      </c>
      <c r="D39" s="2" t="n">
        <v>30</v>
      </c>
      <c r="E39" t="inlineStr">
        <is>
          <t>Modelo interno sin pronóstico</t>
        </is>
      </c>
      <c r="F39" t="inlineStr">
        <is>
          <t>El modelo interno tiene 0 en todos los meses para este SKU; se toma como sin pronóstico. Se muestra como faltante en la hoja de comparación y no cuenta en las métricas.</t>
        </is>
      </c>
    </row>
    <row r="40">
      <c r="A40" t="inlineStr">
        <is>
          <t>TSL/01/125gsm/2000mm</t>
        </is>
      </c>
      <c r="B40" t="inlineStr">
        <is>
          <t>SVIG</t>
        </is>
      </c>
      <c r="C40" t="inlineStr">
        <is>
          <t>2026-09</t>
        </is>
      </c>
      <c r="D40" s="2" t="n">
        <v>35</v>
      </c>
      <c r="E40" t="inlineStr">
        <is>
          <t>Modelo interno sin pronóstico</t>
        </is>
      </c>
      <c r="F40" t="inlineStr">
        <is>
          <t>El modelo interno tiene 0 en todos los meses para este SKU; se toma como sin pronóstico. Se muestra como faltante en la hoja de comparación y no cuenta en las métricas.</t>
        </is>
      </c>
    </row>
    <row r="41">
      <c r="A41" t="inlineStr">
        <is>
          <t>TSL/01/80gsm/2300mm</t>
        </is>
      </c>
      <c r="B41" t="inlineStr">
        <is>
          <t>SVIG</t>
        </is>
      </c>
      <c r="C41" t="inlineStr">
        <is>
          <t>2026-09</t>
        </is>
      </c>
      <c r="D41" s="2" t="n">
        <v>55</v>
      </c>
      <c r="E41" t="inlineStr">
        <is>
          <t>Modelo interno sin pronóstico</t>
        </is>
      </c>
      <c r="F41" t="inlineStr">
        <is>
          <t>El modelo interno tiene 0 en todos los meses para este SKU; se toma como sin pronóstico. Se muestra como faltante en la hoja de comparación y no cuenta en las métricas.</t>
        </is>
      </c>
    </row>
    <row r="42">
      <c r="A42" t="inlineStr">
        <is>
          <t>KS/01/215gsm/1800mm</t>
        </is>
      </c>
      <c r="B42" t="inlineStr">
        <is>
          <t>SALI</t>
        </is>
      </c>
      <c r="C42" t="inlineStr">
        <is>
          <t>2026-09</t>
        </is>
      </c>
      <c r="D42" s="2" t="n">
        <v>105</v>
      </c>
      <c r="E42" t="inlineStr">
        <is>
          <t>Subgrado distinto</t>
        </is>
      </c>
      <c r="F42" t="inlineStr">
        <is>
          <t>El nombre del SKU no coincide con los datos de consumo porque cambia el subgrado (en los datos: KS/257/215gsm/1800mm). No se cruzó: pendiente de confirmar con el planificador.</t>
        </is>
      </c>
    </row>
    <row r="43">
      <c r="A43" t="inlineStr">
        <is>
          <t>KS/01/215gsm/1850mm</t>
        </is>
      </c>
      <c r="B43" t="inlineStr">
        <is>
          <t>SALI</t>
        </is>
      </c>
      <c r="C43" t="inlineStr">
        <is>
          <t>2026-09</t>
        </is>
      </c>
      <c r="D43" s="2" t="n">
        <v>90</v>
      </c>
      <c r="E43" t="inlineStr">
        <is>
          <t>Subgrado distinto</t>
        </is>
      </c>
      <c r="F43" t="inlineStr">
        <is>
          <t>El nombre del SKU no coincide con los datos de consumo porque cambia el subgrado (en los datos: KS/257/215gsm/1850mm). No se cruzó: pendiente de confirmar con el planificador.</t>
        </is>
      </c>
    </row>
    <row r="44">
      <c r="A44" t="inlineStr">
        <is>
          <t>KS/01/215gsm/1955mm</t>
        </is>
      </c>
      <c r="B44" t="inlineStr">
        <is>
          <t>SALI</t>
        </is>
      </c>
      <c r="C44" t="inlineStr">
        <is>
          <t>2026-09</t>
        </is>
      </c>
      <c r="D44" s="2" t="n">
        <v>34</v>
      </c>
      <c r="E44" t="inlineStr">
        <is>
          <t>Subgrado distinto</t>
        </is>
      </c>
      <c r="F44" t="inlineStr">
        <is>
          <t>El nombre del SKU no coincide con los datos de consumo porque cambia el subgrado (en los datos: KS/257/215gsm/1955mm). No se cruzó: pendiente de confirmar con el planificador.</t>
        </is>
      </c>
    </row>
    <row r="45">
      <c r="A45" t="inlineStr">
        <is>
          <t>KS/01/215gsm/2050mm</t>
        </is>
      </c>
      <c r="B45" t="inlineStr">
        <is>
          <t>SALI</t>
        </is>
      </c>
      <c r="C45" t="inlineStr">
        <is>
          <t>2026-09</t>
        </is>
      </c>
      <c r="D45" s="2" t="n">
        <v>155</v>
      </c>
      <c r="E45" t="inlineStr">
        <is>
          <t>Subgrado distinto</t>
        </is>
      </c>
      <c r="F45" t="inlineStr">
        <is>
          <t>El nombre del SKU no coincide con los datos de consumo porque cambia el subgrado (en los datos: KS/257/215gsm/2050mm). No se cruzó: pendiente de confirmar con el planificador.</t>
        </is>
      </c>
    </row>
    <row r="46">
      <c r="A46" t="inlineStr">
        <is>
          <t>KS/01/215gsm/2150mm</t>
        </is>
      </c>
      <c r="B46" t="inlineStr">
        <is>
          <t>SALI</t>
        </is>
      </c>
      <c r="C46" t="inlineStr">
        <is>
          <t>2026-09</t>
        </is>
      </c>
      <c r="D46" s="2" t="n">
        <v>71</v>
      </c>
      <c r="E46" t="inlineStr">
        <is>
          <t>Subgrado distinto</t>
        </is>
      </c>
      <c r="F46" t="inlineStr">
        <is>
          <t>El nombre del SKU no coincide con los datos de consumo porque cambia el subgrado (en los datos: KS/257/215gsm/2150mm). No se cruzó: pendiente de confirmar con el planificador.</t>
        </is>
      </c>
    </row>
    <row r="47">
      <c r="A47" t="inlineStr">
        <is>
          <t>KS/01/215gsm/2250mm</t>
        </is>
      </c>
      <c r="B47" t="inlineStr">
        <is>
          <t>SALI</t>
        </is>
      </c>
      <c r="C47" t="inlineStr">
        <is>
          <t>2026-09</t>
        </is>
      </c>
      <c r="D47" s="2" t="n">
        <v>65</v>
      </c>
      <c r="E47" t="inlineStr">
        <is>
          <t>Subgrado distinto</t>
        </is>
      </c>
      <c r="F47" t="inlineStr">
        <is>
          <t>El nombre del SKU no coincide con los datos de consumo porque cambia el subgrado (en los datos: KS/257/215gsm/2250mm). No se cruzó: pendiente de confirmar con el planificador.</t>
        </is>
      </c>
    </row>
    <row r="48">
      <c r="A48" t="inlineStr">
        <is>
          <t>KS/01/215gsm/2370mm</t>
        </is>
      </c>
      <c r="B48" t="inlineStr">
        <is>
          <t>SALI</t>
        </is>
      </c>
      <c r="C48" t="inlineStr">
        <is>
          <t>2026-09</t>
        </is>
      </c>
      <c r="D48" s="2" t="n">
        <v>42</v>
      </c>
      <c r="E48" t="inlineStr">
        <is>
          <t>Subgrado distinto</t>
        </is>
      </c>
      <c r="F48" t="inlineStr">
        <is>
          <t>El nombre del SKU no coincide con los datos de consumo porque cambia el subgrado (en los datos: KS/257/215gsm/2370mm). No se cruzó: pendiente de confirmar con el planificador.</t>
        </is>
      </c>
    </row>
    <row r="49">
      <c r="A49" t="inlineStr">
        <is>
          <t>KS/01/215gsm/2450mm</t>
        </is>
      </c>
      <c r="B49" t="inlineStr">
        <is>
          <t>SALI</t>
        </is>
      </c>
      <c r="C49" t="inlineStr">
        <is>
          <t>2026-09</t>
        </is>
      </c>
      <c r="D49" s="2" t="n">
        <v>92</v>
      </c>
      <c r="E49" t="inlineStr">
        <is>
          <t>Subgrado distinto</t>
        </is>
      </c>
      <c r="F49" t="inlineStr">
        <is>
          <t>El nombre del SKU no coincide con los datos de consumo porque cambia el subgrado (en los datos: KS/257/215gsm/2450mm). No se cruzó: pendiente de confirmar con el planificador.</t>
        </is>
      </c>
    </row>
    <row r="50">
      <c r="A50" t="inlineStr">
        <is>
          <t>KS/01/215gsm/1800mm</t>
        </is>
      </c>
      <c r="B50" t="inlineStr">
        <is>
          <t>SALM</t>
        </is>
      </c>
      <c r="C50" t="inlineStr">
        <is>
          <t>2026-09</t>
        </is>
      </c>
      <c r="D50" s="2" t="n">
        <v>100</v>
      </c>
      <c r="E50" t="inlineStr">
        <is>
          <t>Subgrado distinto</t>
        </is>
      </c>
      <c r="F50" t="inlineStr">
        <is>
          <t>El nombre del SKU no coincide con los datos de consumo porque cambia el subgrado (en los datos: KS/257/215gsm/1800mm). No se cruzó: pendiente de confirmar con el planificador.</t>
        </is>
      </c>
    </row>
    <row r="51">
      <c r="A51" t="inlineStr">
        <is>
          <t>KS/01/215gsm/1850mm</t>
        </is>
      </c>
      <c r="B51" t="inlineStr">
        <is>
          <t>SALM</t>
        </is>
      </c>
      <c r="C51" t="inlineStr">
        <is>
          <t>2026-09</t>
        </is>
      </c>
      <c r="D51" s="2" t="n">
        <v>90</v>
      </c>
      <c r="E51" t="inlineStr">
        <is>
          <t>Subgrado distinto</t>
        </is>
      </c>
      <c r="F51" t="inlineStr">
        <is>
          <t>El nombre del SKU no coincide con los datos de consumo porque cambia el subgrado (en los datos: KS/257/215gsm/1850mm). No se cruzó: pendiente de confirmar con el planificador.</t>
        </is>
      </c>
    </row>
    <row r="52">
      <c r="A52" t="inlineStr">
        <is>
          <t>KS/01/215gsm/1955mm</t>
        </is>
      </c>
      <c r="B52" t="inlineStr">
        <is>
          <t>SALM</t>
        </is>
      </c>
      <c r="C52" t="inlineStr">
        <is>
          <t>2026-09</t>
        </is>
      </c>
      <c r="D52" s="2" t="n">
        <v>170</v>
      </c>
      <c r="E52" t="inlineStr">
        <is>
          <t>Subgrado distinto</t>
        </is>
      </c>
      <c r="F52" t="inlineStr">
        <is>
          <t>El nombre del SKU no coincide con los datos de consumo porque cambia el subgrado (en los datos: KS/257/215gsm/1955mm). No se cruzó: pendiente de confirmar con el planificador.</t>
        </is>
      </c>
    </row>
    <row r="53">
      <c r="A53" t="inlineStr">
        <is>
          <t>KS/01/215gsm/2050mm</t>
        </is>
      </c>
      <c r="B53" t="inlineStr">
        <is>
          <t>SALM</t>
        </is>
      </c>
      <c r="C53" t="inlineStr">
        <is>
          <t>2026-09</t>
        </is>
      </c>
      <c r="D53" s="2" t="n">
        <v>120</v>
      </c>
      <c r="E53" t="inlineStr">
        <is>
          <t>Subgrado distinto</t>
        </is>
      </c>
      <c r="F53" t="inlineStr">
        <is>
          <t>El nombre del SKU no coincide con los datos de consumo porque cambia el subgrado (en los datos: KS/257/215gsm/2050mm). No se cruzó: pendiente de confirmar con el planificador.</t>
        </is>
      </c>
    </row>
    <row r="54">
      <c r="A54" t="inlineStr">
        <is>
          <t>KS/01/215gsm/2150mm</t>
        </is>
      </c>
      <c r="B54" t="inlineStr">
        <is>
          <t>SALM</t>
        </is>
      </c>
      <c r="C54" t="inlineStr">
        <is>
          <t>2026-09</t>
        </is>
      </c>
      <c r="D54" s="2" t="n">
        <v>150</v>
      </c>
      <c r="E54" t="inlineStr">
        <is>
          <t>Subgrado distinto</t>
        </is>
      </c>
      <c r="F54" t="inlineStr">
        <is>
          <t>El nombre del SKU no coincide con los datos de consumo porque cambia el subgrado (en los datos: KS/257/215gsm/2150mm). No se cruzó: pendiente de confirmar con el planificador.</t>
        </is>
      </c>
    </row>
    <row r="55">
      <c r="A55" t="inlineStr">
        <is>
          <t>KS/01/215gsm/2250mm</t>
        </is>
      </c>
      <c r="B55" t="inlineStr">
        <is>
          <t>SALM</t>
        </is>
      </c>
      <c r="C55" t="inlineStr">
        <is>
          <t>2026-09</t>
        </is>
      </c>
      <c r="D55" s="2" t="n">
        <v>60</v>
      </c>
      <c r="E55" t="inlineStr">
        <is>
          <t>Subgrado distinto</t>
        </is>
      </c>
      <c r="F55" t="inlineStr">
        <is>
          <t>El nombre del SKU no coincide con los datos de consumo porque cambia el subgrado (en los datos: KS/257/215gsm/2250mm). No se cruzó: pendiente de confirmar con el planificador.</t>
        </is>
      </c>
    </row>
    <row r="56">
      <c r="A56" t="inlineStr">
        <is>
          <t>KS/01/215gsm/2370mm</t>
        </is>
      </c>
      <c r="B56" t="inlineStr">
        <is>
          <t>SALM</t>
        </is>
      </c>
      <c r="C56" t="inlineStr">
        <is>
          <t>2026-09</t>
        </is>
      </c>
      <c r="D56" s="2" t="n">
        <v>70</v>
      </c>
      <c r="E56" t="inlineStr">
        <is>
          <t>Subgrado distinto</t>
        </is>
      </c>
      <c r="F56" t="inlineStr">
        <is>
          <t>El nombre del SKU no coincide con los datos de consumo porque cambia el subgrado (en los datos: KS/257/215gsm/2370mm). No se cruzó: pendiente de confirmar con el planificador.</t>
        </is>
      </c>
    </row>
    <row r="57">
      <c r="A57" t="inlineStr">
        <is>
          <t>KS/01/215gsm/2450mm</t>
        </is>
      </c>
      <c r="B57" t="inlineStr">
        <is>
          <t>SALM</t>
        </is>
      </c>
      <c r="C57" t="inlineStr">
        <is>
          <t>2026-09</t>
        </is>
      </c>
      <c r="D57" s="2" t="n">
        <v>70</v>
      </c>
      <c r="E57" t="inlineStr">
        <is>
          <t>Subgrado distinto</t>
        </is>
      </c>
      <c r="F57" t="inlineStr">
        <is>
          <t>El nombre del SKU no coincide con los datos de consumo porque cambia el subgrado (en los datos: KS/257/215gsm/2450mm). No se cruzó: pendiente de confirmar con el planificador.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9" customWidth="1" min="4" max="4"/>
    <col width="21" customWidth="1" min="5" max="5"/>
    <col width="21" customWidth="1" min="6" max="6"/>
    <col width="19" customWidth="1" min="7" max="7"/>
    <col width="21" customWidth="1" min="8" max="8"/>
    <col width="21" customWidth="1" min="9" max="9"/>
    <col width="22" customWidth="1" min="10" max="10"/>
    <col width="24" customWidth="1" min="11" max="11"/>
    <col width="24" customWidth="1" min="12" max="12"/>
    <col width="20" customWidth="1" min="13" max="13"/>
    <col width="22" customWidth="1" min="14" max="14"/>
    <col width="22" customWidth="1" min="15" max="15"/>
  </cols>
  <sheetData>
    <row r="1" ht="32" customHeight="1">
      <c r="A1" s="1" t="inlineStr">
        <is>
          <t>Planta</t>
        </is>
      </c>
      <c r="B1" s="1" t="inlineStr">
        <is>
          <t>SKU en las tres fuentes</t>
        </is>
      </c>
      <c r="C1" s="1" t="inlineStr">
        <is>
          <t>Real (TO)</t>
        </is>
      </c>
      <c r="D1" s="1" t="inlineStr">
        <is>
          <t>Planificador (TO)</t>
        </is>
      </c>
      <c r="E1" s="1" t="inlineStr">
        <is>
          <t>Modelo interno (TO)</t>
        </is>
      </c>
      <c r="F1" s="1" t="inlineStr">
        <is>
          <t>Nuestro modelo (TO)</t>
        </is>
      </c>
      <c r="G1" s="1" t="inlineStr">
        <is>
          <t>WAPE planificador</t>
        </is>
      </c>
      <c r="H1" s="1" t="inlineStr">
        <is>
          <t>WAPE modelo interno</t>
        </is>
      </c>
      <c r="I1" s="1" t="inlineStr">
        <is>
          <t>WAPE nuestro modelo</t>
        </is>
      </c>
      <c r="J1" s="1" t="inlineStr">
        <is>
          <t>Acierto planificador</t>
        </is>
      </c>
      <c r="K1" s="1" t="inlineStr">
        <is>
          <t>Acierto modelo interno</t>
        </is>
      </c>
      <c r="L1" s="1" t="inlineStr">
        <is>
          <t>Acierto nuestro modelo</t>
        </is>
      </c>
      <c r="M1" s="1" t="inlineStr">
        <is>
          <t>Sesgo planificador</t>
        </is>
      </c>
      <c r="N1" s="1" t="inlineStr">
        <is>
          <t>Sesgo modelo interno</t>
        </is>
      </c>
      <c r="O1" s="1" t="inlineStr">
        <is>
          <t>Sesgo nuestro modelo</t>
        </is>
      </c>
    </row>
    <row r="2">
      <c r="A2" t="inlineStr">
        <is>
          <t>Todas</t>
        </is>
      </c>
      <c r="B2">
        <f>COUNTIFS('Comparación'!$H$2:$H$444,TRUE)</f>
        <v/>
      </c>
      <c r="C2" s="2">
        <f>SUMIFS('Comparación'!$D$2:$D$444,'Comparación'!$H$2:$H$444,TRUE)</f>
        <v/>
      </c>
      <c r="D2" s="2">
        <f>SUMIFS('Comparación'!$E$2:$E$444,'Comparación'!$H$2:$H$444,TRUE)</f>
        <v/>
      </c>
      <c r="E2" s="2">
        <f>SUMIFS('Comparación'!$F$2:$F$444,'Comparación'!$H$2:$H$444,TRUE)</f>
        <v/>
      </c>
      <c r="F2" s="2">
        <f>SUMIFS('Comparación'!$G$2:$G$444,'Comparación'!$H$2:$H$444,TRUE)</f>
        <v/>
      </c>
      <c r="G2" s="3">
        <f>SUMIFS('Comparación'!$L$2:$L$444,'Comparación'!$H$2:$H$444,TRUE)/$C2</f>
        <v/>
      </c>
      <c r="H2" s="3">
        <f>SUMIFS('Comparación'!$M$2:$M$444,'Comparación'!$H$2:$H$444,TRUE)/$C2</f>
        <v/>
      </c>
      <c r="I2" s="3">
        <f>SUMIFS('Comparación'!$N$2:$N$444,'Comparación'!$H$2:$H$444,TRUE)/$C2</f>
        <v/>
      </c>
      <c r="J2" s="3">
        <f>1-G2</f>
        <v/>
      </c>
      <c r="K2" s="3">
        <f>1-H2</f>
        <v/>
      </c>
      <c r="L2" s="3">
        <f>1-I2</f>
        <v/>
      </c>
      <c r="M2" s="3">
        <f>D2/C2-1</f>
        <v/>
      </c>
      <c r="N2" s="3">
        <f>E2/C2-1</f>
        <v/>
      </c>
      <c r="O2" s="3">
        <f>F2/C2-1</f>
        <v/>
      </c>
    </row>
    <row r="3">
      <c r="A3" t="inlineStr">
        <is>
          <t>PCEL</t>
        </is>
      </c>
      <c r="B3">
        <f>COUNTIFS('Comparación'!$B$2:$B$444,$A3,'Comparación'!$H$2:$H$444,TRUE)</f>
        <v/>
      </c>
      <c r="C3" s="2">
        <f>SUMIFS('Comparación'!$D$2:$D$444,'Comparación'!$B$2:$B$444,$A3,'Comparación'!$H$2:$H$444,TRUE)</f>
        <v/>
      </c>
      <c r="D3" s="2">
        <f>SUMIFS('Comparación'!$E$2:$E$444,'Comparación'!$B$2:$B$444,$A3,'Comparación'!$H$2:$H$444,TRUE)</f>
        <v/>
      </c>
      <c r="E3" s="2">
        <f>SUMIFS('Comparación'!$F$2:$F$444,'Comparación'!$B$2:$B$444,$A3,'Comparación'!$H$2:$H$444,TRUE)</f>
        <v/>
      </c>
      <c r="F3" s="2">
        <f>SUMIFS('Comparación'!$G$2:$G$444,'Comparación'!$B$2:$B$444,$A3,'Comparación'!$H$2:$H$444,TRUE)</f>
        <v/>
      </c>
      <c r="G3" s="3">
        <f>SUMIFS('Comparación'!$L$2:$L$444,'Comparación'!$B$2:$B$444,$A3,'Comparación'!$H$2:$H$444,TRUE)/$C3</f>
        <v/>
      </c>
      <c r="H3" s="3">
        <f>SUMIFS('Comparación'!$M$2:$M$444,'Comparación'!$B$2:$B$444,$A3,'Comparación'!$H$2:$H$444,TRUE)/$C3</f>
        <v/>
      </c>
      <c r="I3" s="3">
        <f>SUMIFS('Comparación'!$N$2:$N$444,'Comparación'!$B$2:$B$444,$A3,'Comparación'!$H$2:$H$444,TRUE)/$C3</f>
        <v/>
      </c>
      <c r="J3" s="3">
        <f>1-G3</f>
        <v/>
      </c>
      <c r="K3" s="3">
        <f>1-H3</f>
        <v/>
      </c>
      <c r="L3" s="3">
        <f>1-I3</f>
        <v/>
      </c>
      <c r="M3" s="3">
        <f>D3/C3-1</f>
        <v/>
      </c>
      <c r="N3" s="3">
        <f>E3/C3-1</f>
        <v/>
      </c>
      <c r="O3" s="3">
        <f>F3/C3-1</f>
        <v/>
      </c>
    </row>
    <row r="4">
      <c r="A4" t="inlineStr">
        <is>
          <t>SALC</t>
        </is>
      </c>
      <c r="B4">
        <f>COUNTIFS('Comparación'!$B$2:$B$444,$A4,'Comparación'!$H$2:$H$444,TRUE)</f>
        <v/>
      </c>
      <c r="C4" s="2">
        <f>SUMIFS('Comparación'!$D$2:$D$444,'Comparación'!$B$2:$B$444,$A4,'Comparación'!$H$2:$H$444,TRUE)</f>
        <v/>
      </c>
      <c r="D4" s="2">
        <f>SUMIFS('Comparación'!$E$2:$E$444,'Comparación'!$B$2:$B$444,$A4,'Comparación'!$H$2:$H$444,TRUE)</f>
        <v/>
      </c>
      <c r="E4" s="2">
        <f>SUMIFS('Comparación'!$F$2:$F$444,'Comparación'!$B$2:$B$444,$A4,'Comparación'!$H$2:$H$444,TRUE)</f>
        <v/>
      </c>
      <c r="F4" s="2">
        <f>SUMIFS('Comparación'!$G$2:$G$444,'Comparación'!$B$2:$B$444,$A4,'Comparación'!$H$2:$H$444,TRUE)</f>
        <v/>
      </c>
      <c r="G4" s="3">
        <f>SUMIFS('Comparación'!$L$2:$L$444,'Comparación'!$B$2:$B$444,$A4,'Comparación'!$H$2:$H$444,TRUE)/$C4</f>
        <v/>
      </c>
      <c r="H4" s="3">
        <f>SUMIFS('Comparación'!$M$2:$M$444,'Comparación'!$B$2:$B$444,$A4,'Comparación'!$H$2:$H$444,TRUE)/$C4</f>
        <v/>
      </c>
      <c r="I4" s="3">
        <f>SUMIFS('Comparación'!$N$2:$N$444,'Comparación'!$B$2:$B$444,$A4,'Comparación'!$H$2:$H$444,TRUE)/$C4</f>
        <v/>
      </c>
      <c r="J4" s="3">
        <f>1-G4</f>
        <v/>
      </c>
      <c r="K4" s="3">
        <f>1-H4</f>
        <v/>
      </c>
      <c r="L4" s="3">
        <f>1-I4</f>
        <v/>
      </c>
      <c r="M4" s="3">
        <f>D4/C4-1</f>
        <v/>
      </c>
      <c r="N4" s="3">
        <f>E4/C4-1</f>
        <v/>
      </c>
      <c r="O4" s="3">
        <f>F4/C4-1</f>
        <v/>
      </c>
    </row>
    <row r="5">
      <c r="A5" t="inlineStr">
        <is>
          <t>SALI</t>
        </is>
      </c>
      <c r="B5">
        <f>COUNTIFS('Comparación'!$B$2:$B$444,$A5,'Comparación'!$H$2:$H$444,TRUE)</f>
        <v/>
      </c>
      <c r="C5" s="2">
        <f>SUMIFS('Comparación'!$D$2:$D$444,'Comparación'!$B$2:$B$444,$A5,'Comparación'!$H$2:$H$444,TRUE)</f>
        <v/>
      </c>
      <c r="D5" s="2">
        <f>SUMIFS('Comparación'!$E$2:$E$444,'Comparación'!$B$2:$B$444,$A5,'Comparación'!$H$2:$H$444,TRUE)</f>
        <v/>
      </c>
      <c r="E5" s="2">
        <f>SUMIFS('Comparación'!$F$2:$F$444,'Comparación'!$B$2:$B$444,$A5,'Comparación'!$H$2:$H$444,TRUE)</f>
        <v/>
      </c>
      <c r="F5" s="2">
        <f>SUMIFS('Comparación'!$G$2:$G$444,'Comparación'!$B$2:$B$444,$A5,'Comparación'!$H$2:$H$444,TRUE)</f>
        <v/>
      </c>
      <c r="G5" s="3">
        <f>SUMIFS('Comparación'!$L$2:$L$444,'Comparación'!$B$2:$B$444,$A5,'Comparación'!$H$2:$H$444,TRUE)/$C5</f>
        <v/>
      </c>
      <c r="H5" s="3">
        <f>SUMIFS('Comparación'!$M$2:$M$444,'Comparación'!$B$2:$B$444,$A5,'Comparación'!$H$2:$H$444,TRUE)/$C5</f>
        <v/>
      </c>
      <c r="I5" s="3">
        <f>SUMIFS('Comparación'!$N$2:$N$444,'Comparación'!$B$2:$B$444,$A5,'Comparación'!$H$2:$H$444,TRUE)/$C5</f>
        <v/>
      </c>
      <c r="J5" s="3">
        <f>1-G5</f>
        <v/>
      </c>
      <c r="K5" s="3">
        <f>1-H5</f>
        <v/>
      </c>
      <c r="L5" s="3">
        <f>1-I5</f>
        <v/>
      </c>
      <c r="M5" s="3">
        <f>D5/C5-1</f>
        <v/>
      </c>
      <c r="N5" s="3">
        <f>E5/C5-1</f>
        <v/>
      </c>
      <c r="O5" s="3">
        <f>F5/C5-1</f>
        <v/>
      </c>
    </row>
    <row r="6">
      <c r="A6" t="inlineStr">
        <is>
          <t>SALM</t>
        </is>
      </c>
      <c r="B6">
        <f>COUNTIFS('Comparación'!$B$2:$B$444,$A6,'Comparación'!$H$2:$H$444,TRUE)</f>
        <v/>
      </c>
      <c r="C6" s="2">
        <f>SUMIFS('Comparación'!$D$2:$D$444,'Comparación'!$B$2:$B$444,$A6,'Comparación'!$H$2:$H$444,TRUE)</f>
        <v/>
      </c>
      <c r="D6" s="2">
        <f>SUMIFS('Comparación'!$E$2:$E$444,'Comparación'!$B$2:$B$444,$A6,'Comparación'!$H$2:$H$444,TRUE)</f>
        <v/>
      </c>
      <c r="E6" s="2">
        <f>SUMIFS('Comparación'!$F$2:$F$444,'Comparación'!$B$2:$B$444,$A6,'Comparación'!$H$2:$H$444,TRUE)</f>
        <v/>
      </c>
      <c r="F6" s="2">
        <f>SUMIFS('Comparación'!$G$2:$G$444,'Comparación'!$B$2:$B$444,$A6,'Comparación'!$H$2:$H$444,TRUE)</f>
        <v/>
      </c>
      <c r="G6" s="3">
        <f>SUMIFS('Comparación'!$L$2:$L$444,'Comparación'!$B$2:$B$444,$A6,'Comparación'!$H$2:$H$444,TRUE)/$C6</f>
        <v/>
      </c>
      <c r="H6" s="3">
        <f>SUMIFS('Comparación'!$M$2:$M$444,'Comparación'!$B$2:$B$444,$A6,'Comparación'!$H$2:$H$444,TRUE)/$C6</f>
        <v/>
      </c>
      <c r="I6" s="3">
        <f>SUMIFS('Comparación'!$N$2:$N$444,'Comparación'!$B$2:$B$444,$A6,'Comparación'!$H$2:$H$444,TRUE)/$C6</f>
        <v/>
      </c>
      <c r="J6" s="3">
        <f>1-G6</f>
        <v/>
      </c>
      <c r="K6" s="3">
        <f>1-H6</f>
        <v/>
      </c>
      <c r="L6" s="3">
        <f>1-I6</f>
        <v/>
      </c>
      <c r="M6" s="3">
        <f>D6/C6-1</f>
        <v/>
      </c>
      <c r="N6" s="3">
        <f>E6/C6-1</f>
        <v/>
      </c>
      <c r="O6" s="3">
        <f>F6/C6-1</f>
        <v/>
      </c>
    </row>
    <row r="7">
      <c r="A7" t="inlineStr">
        <is>
          <t>SBUR</t>
        </is>
      </c>
      <c r="B7">
        <f>COUNTIFS('Comparación'!$B$2:$B$444,$A7,'Comparación'!$H$2:$H$444,TRUE)</f>
        <v/>
      </c>
      <c r="C7" s="2">
        <f>SUMIFS('Comparación'!$D$2:$D$444,'Comparación'!$B$2:$B$444,$A7,'Comparación'!$H$2:$H$444,TRUE)</f>
        <v/>
      </c>
      <c r="D7" s="2">
        <f>SUMIFS('Comparación'!$E$2:$E$444,'Comparación'!$B$2:$B$444,$A7,'Comparación'!$H$2:$H$444,TRUE)</f>
        <v/>
      </c>
      <c r="E7" s="2">
        <f>SUMIFS('Comparación'!$F$2:$F$444,'Comparación'!$B$2:$B$444,$A7,'Comparación'!$H$2:$H$444,TRUE)</f>
        <v/>
      </c>
      <c r="F7" s="2">
        <f>SUMIFS('Comparación'!$G$2:$G$444,'Comparación'!$B$2:$B$444,$A7,'Comparación'!$H$2:$H$444,TRUE)</f>
        <v/>
      </c>
      <c r="G7" s="3">
        <f>SUMIFS('Comparación'!$L$2:$L$444,'Comparación'!$B$2:$B$444,$A7,'Comparación'!$H$2:$H$444,TRUE)/$C7</f>
        <v/>
      </c>
      <c r="H7" s="3">
        <f>SUMIFS('Comparación'!$M$2:$M$444,'Comparación'!$B$2:$B$444,$A7,'Comparación'!$H$2:$H$444,TRUE)/$C7</f>
        <v/>
      </c>
      <c r="I7" s="3">
        <f>SUMIFS('Comparación'!$N$2:$N$444,'Comparación'!$B$2:$B$444,$A7,'Comparación'!$H$2:$H$444,TRUE)/$C7</f>
        <v/>
      </c>
      <c r="J7" s="3">
        <f>1-G7</f>
        <v/>
      </c>
      <c r="K7" s="3">
        <f>1-H7</f>
        <v/>
      </c>
      <c r="L7" s="3">
        <f>1-I7</f>
        <v/>
      </c>
      <c r="M7" s="3">
        <f>D7/C7-1</f>
        <v/>
      </c>
      <c r="N7" s="3">
        <f>E7/C7-1</f>
        <v/>
      </c>
      <c r="O7" s="3">
        <f>F7/C7-1</f>
        <v/>
      </c>
    </row>
    <row r="8">
      <c r="A8" t="inlineStr">
        <is>
          <t>SCAN</t>
        </is>
      </c>
      <c r="B8">
        <f>COUNTIFS('Comparación'!$B$2:$B$444,$A8,'Comparación'!$H$2:$H$444,TRUE)</f>
        <v/>
      </c>
      <c r="C8" s="2">
        <f>SUMIFS('Comparación'!$D$2:$D$444,'Comparación'!$B$2:$B$444,$A8,'Comparación'!$H$2:$H$444,TRUE)</f>
        <v/>
      </c>
      <c r="D8" s="2">
        <f>SUMIFS('Comparación'!$E$2:$E$444,'Comparación'!$B$2:$B$444,$A8,'Comparación'!$H$2:$H$444,TRUE)</f>
        <v/>
      </c>
      <c r="E8" s="2">
        <f>SUMIFS('Comparación'!$F$2:$F$444,'Comparación'!$B$2:$B$444,$A8,'Comparación'!$H$2:$H$444,TRUE)</f>
        <v/>
      </c>
      <c r="F8" s="2">
        <f>SUMIFS('Comparación'!$G$2:$G$444,'Comparación'!$B$2:$B$444,$A8,'Comparación'!$H$2:$H$444,TRUE)</f>
        <v/>
      </c>
      <c r="G8" s="3">
        <f>SUMIFS('Comparación'!$L$2:$L$444,'Comparación'!$B$2:$B$444,$A8,'Comparación'!$H$2:$H$444,TRUE)/$C8</f>
        <v/>
      </c>
      <c r="H8" s="3">
        <f>SUMIFS('Comparación'!$M$2:$M$444,'Comparación'!$B$2:$B$444,$A8,'Comparación'!$H$2:$H$444,TRUE)/$C8</f>
        <v/>
      </c>
      <c r="I8" s="3">
        <f>SUMIFS('Comparación'!$N$2:$N$444,'Comparación'!$B$2:$B$444,$A8,'Comparación'!$H$2:$H$444,TRUE)/$C8</f>
        <v/>
      </c>
      <c r="J8" s="3">
        <f>1-G8</f>
        <v/>
      </c>
      <c r="K8" s="3">
        <f>1-H8</f>
        <v/>
      </c>
      <c r="L8" s="3">
        <f>1-I8</f>
        <v/>
      </c>
      <c r="M8" s="3">
        <f>D8/C8-1</f>
        <v/>
      </c>
      <c r="N8" s="3">
        <f>E8/C8-1</f>
        <v/>
      </c>
      <c r="O8" s="3">
        <f>F8/C8-1</f>
        <v/>
      </c>
    </row>
    <row r="9">
      <c r="A9" t="inlineStr">
        <is>
          <t>SCOC</t>
        </is>
      </c>
      <c r="B9">
        <f>COUNTIFS('Comparación'!$B$2:$B$444,$A9,'Comparación'!$H$2:$H$444,TRUE)</f>
        <v/>
      </c>
      <c r="C9" s="2">
        <f>SUMIFS('Comparación'!$D$2:$D$444,'Comparación'!$B$2:$B$444,$A9,'Comparación'!$H$2:$H$444,TRUE)</f>
        <v/>
      </c>
      <c r="D9" s="2">
        <f>SUMIFS('Comparación'!$E$2:$E$444,'Comparación'!$B$2:$B$444,$A9,'Comparación'!$H$2:$H$444,TRUE)</f>
        <v/>
      </c>
      <c r="E9" s="2">
        <f>SUMIFS('Comparación'!$F$2:$F$444,'Comparación'!$B$2:$B$444,$A9,'Comparación'!$H$2:$H$444,TRUE)</f>
        <v/>
      </c>
      <c r="F9" s="2">
        <f>SUMIFS('Comparación'!$G$2:$G$444,'Comparación'!$B$2:$B$444,$A9,'Comparación'!$H$2:$H$444,TRUE)</f>
        <v/>
      </c>
      <c r="G9" s="3">
        <f>SUMIFS('Comparación'!$L$2:$L$444,'Comparación'!$B$2:$B$444,$A9,'Comparación'!$H$2:$H$444,TRUE)/$C9</f>
        <v/>
      </c>
      <c r="H9" s="3">
        <f>SUMIFS('Comparación'!$M$2:$M$444,'Comparación'!$B$2:$B$444,$A9,'Comparación'!$H$2:$H$444,TRUE)/$C9</f>
        <v/>
      </c>
      <c r="I9" s="3">
        <f>SUMIFS('Comparación'!$N$2:$N$444,'Comparación'!$B$2:$B$444,$A9,'Comparación'!$H$2:$H$444,TRUE)/$C9</f>
        <v/>
      </c>
      <c r="J9" s="3">
        <f>1-G9</f>
        <v/>
      </c>
      <c r="K9" s="3">
        <f>1-H9</f>
        <v/>
      </c>
      <c r="L9" s="3">
        <f>1-I9</f>
        <v/>
      </c>
      <c r="M9" s="3">
        <f>D9/C9-1</f>
        <v/>
      </c>
      <c r="N9" s="3">
        <f>E9/C9-1</f>
        <v/>
      </c>
      <c r="O9" s="3">
        <f>F9/C9-1</f>
        <v/>
      </c>
    </row>
    <row r="10">
      <c r="A10" t="inlineStr">
        <is>
          <t>SCVA</t>
        </is>
      </c>
      <c r="B10">
        <f>COUNTIFS('Comparación'!$B$2:$B$444,$A10,'Comparación'!$H$2:$H$444,TRUE)</f>
        <v/>
      </c>
      <c r="C10" s="2">
        <f>SUMIFS('Comparación'!$D$2:$D$444,'Comparación'!$B$2:$B$444,$A10,'Comparación'!$H$2:$H$444,TRUE)</f>
        <v/>
      </c>
      <c r="D10" s="2">
        <f>SUMIFS('Comparación'!$E$2:$E$444,'Comparación'!$B$2:$B$444,$A10,'Comparación'!$H$2:$H$444,TRUE)</f>
        <v/>
      </c>
      <c r="E10" s="2">
        <f>SUMIFS('Comparación'!$F$2:$F$444,'Comparación'!$B$2:$B$444,$A10,'Comparación'!$H$2:$H$444,TRUE)</f>
        <v/>
      </c>
      <c r="F10" s="2">
        <f>SUMIFS('Comparación'!$G$2:$G$444,'Comparación'!$B$2:$B$444,$A10,'Comparación'!$H$2:$H$444,TRUE)</f>
        <v/>
      </c>
      <c r="G10" s="3">
        <f>SUMIFS('Comparación'!$L$2:$L$444,'Comparación'!$B$2:$B$444,$A10,'Comparación'!$H$2:$H$444,TRUE)/$C10</f>
        <v/>
      </c>
      <c r="H10" s="3">
        <f>SUMIFS('Comparación'!$M$2:$M$444,'Comparación'!$B$2:$B$444,$A10,'Comparación'!$H$2:$H$444,TRUE)/$C10</f>
        <v/>
      </c>
      <c r="I10" s="3">
        <f>SUMIFS('Comparación'!$N$2:$N$444,'Comparación'!$B$2:$B$444,$A10,'Comparación'!$H$2:$H$444,TRUE)/$C10</f>
        <v/>
      </c>
      <c r="J10" s="3">
        <f>1-G10</f>
        <v/>
      </c>
      <c r="K10" s="3">
        <f>1-H10</f>
        <v/>
      </c>
      <c r="L10" s="3">
        <f>1-I10</f>
        <v/>
      </c>
      <c r="M10" s="3">
        <f>D10/C10-1</f>
        <v/>
      </c>
      <c r="N10" s="3">
        <f>E10/C10-1</f>
        <v/>
      </c>
      <c r="O10" s="3">
        <f>F10/C10-1</f>
        <v/>
      </c>
    </row>
    <row r="11">
      <c r="A11" t="inlineStr">
        <is>
          <t>SPAL</t>
        </is>
      </c>
      <c r="B11">
        <f>COUNTIFS('Comparación'!$B$2:$B$444,$A11,'Comparación'!$H$2:$H$444,TRUE)</f>
        <v/>
      </c>
      <c r="C11" s="2">
        <f>SUMIFS('Comparación'!$D$2:$D$444,'Comparación'!$B$2:$B$444,$A11,'Comparación'!$H$2:$H$444,TRUE)</f>
        <v/>
      </c>
      <c r="D11" s="2">
        <f>SUMIFS('Comparación'!$E$2:$E$444,'Comparación'!$B$2:$B$444,$A11,'Comparación'!$H$2:$H$444,TRUE)</f>
        <v/>
      </c>
      <c r="E11" s="2">
        <f>SUMIFS('Comparación'!$F$2:$F$444,'Comparación'!$B$2:$B$444,$A11,'Comparación'!$H$2:$H$444,TRUE)</f>
        <v/>
      </c>
      <c r="F11" s="2">
        <f>SUMIFS('Comparación'!$G$2:$G$444,'Comparación'!$B$2:$B$444,$A11,'Comparación'!$H$2:$H$444,TRUE)</f>
        <v/>
      </c>
      <c r="G11" s="3">
        <f>SUMIFS('Comparación'!$L$2:$L$444,'Comparación'!$B$2:$B$444,$A11,'Comparación'!$H$2:$H$444,TRUE)/$C11</f>
        <v/>
      </c>
      <c r="H11" s="3">
        <f>SUMIFS('Comparación'!$M$2:$M$444,'Comparación'!$B$2:$B$444,$A11,'Comparación'!$H$2:$H$444,TRUE)/$C11</f>
        <v/>
      </c>
      <c r="I11" s="3">
        <f>SUMIFS('Comparación'!$N$2:$N$444,'Comparación'!$B$2:$B$444,$A11,'Comparación'!$H$2:$H$444,TRUE)/$C11</f>
        <v/>
      </c>
      <c r="J11" s="3">
        <f>1-G11</f>
        <v/>
      </c>
      <c r="K11" s="3">
        <f>1-H11</f>
        <v/>
      </c>
      <c r="L11" s="3">
        <f>1-I11</f>
        <v/>
      </c>
      <c r="M11" s="3">
        <f>D11/C11-1</f>
        <v/>
      </c>
      <c r="N11" s="3">
        <f>E11/C11-1</f>
        <v/>
      </c>
      <c r="O11" s="3">
        <f>F11/C11-1</f>
        <v/>
      </c>
    </row>
    <row r="12">
      <c r="A12" t="inlineStr">
        <is>
          <t>SQUA</t>
        </is>
      </c>
      <c r="B12">
        <f>COUNTIFS('Comparación'!$B$2:$B$444,$A12,'Comparación'!$H$2:$H$444,TRUE)</f>
        <v/>
      </c>
      <c r="C12" s="2">
        <f>SUMIFS('Comparación'!$D$2:$D$444,'Comparación'!$B$2:$B$444,$A12,'Comparación'!$H$2:$H$444,TRUE)</f>
        <v/>
      </c>
      <c r="D12" s="2">
        <f>SUMIFS('Comparación'!$E$2:$E$444,'Comparación'!$B$2:$B$444,$A12,'Comparación'!$H$2:$H$444,TRUE)</f>
        <v/>
      </c>
      <c r="E12" s="2">
        <f>SUMIFS('Comparación'!$F$2:$F$444,'Comparación'!$B$2:$B$444,$A12,'Comparación'!$H$2:$H$444,TRUE)</f>
        <v/>
      </c>
      <c r="F12" s="2">
        <f>SUMIFS('Comparación'!$G$2:$G$444,'Comparación'!$B$2:$B$444,$A12,'Comparación'!$H$2:$H$444,TRUE)</f>
        <v/>
      </c>
      <c r="G12" s="3">
        <f>SUMIFS('Comparación'!$L$2:$L$444,'Comparación'!$B$2:$B$444,$A12,'Comparación'!$H$2:$H$444,TRUE)/$C12</f>
        <v/>
      </c>
      <c r="H12" s="3">
        <f>SUMIFS('Comparación'!$M$2:$M$444,'Comparación'!$B$2:$B$444,$A12,'Comparación'!$H$2:$H$444,TRUE)/$C12</f>
        <v/>
      </c>
      <c r="I12" s="3">
        <f>SUMIFS('Comparación'!$N$2:$N$444,'Comparación'!$B$2:$B$444,$A12,'Comparación'!$H$2:$H$444,TRUE)/$C12</f>
        <v/>
      </c>
      <c r="J12" s="3">
        <f>1-G12</f>
        <v/>
      </c>
      <c r="K12" s="3">
        <f>1-H12</f>
        <v/>
      </c>
      <c r="L12" s="3">
        <f>1-I12</f>
        <v/>
      </c>
      <c r="M12" s="3">
        <f>D12/C12-1</f>
        <v/>
      </c>
      <c r="N12" s="3">
        <f>E12/C12-1</f>
        <v/>
      </c>
      <c r="O12" s="3">
        <f>F12/C12-1</f>
        <v/>
      </c>
    </row>
    <row r="13">
      <c r="A13" t="inlineStr">
        <is>
          <t>SVIG</t>
        </is>
      </c>
      <c r="B13">
        <f>COUNTIFS('Comparación'!$B$2:$B$444,$A13,'Comparación'!$H$2:$H$444,TRUE)</f>
        <v/>
      </c>
      <c r="C13" s="2">
        <f>SUMIFS('Comparación'!$D$2:$D$444,'Comparación'!$B$2:$B$444,$A13,'Comparación'!$H$2:$H$444,TRUE)</f>
        <v/>
      </c>
      <c r="D13" s="2">
        <f>SUMIFS('Comparación'!$E$2:$E$444,'Comparación'!$B$2:$B$444,$A13,'Comparación'!$H$2:$H$444,TRUE)</f>
        <v/>
      </c>
      <c r="E13" s="2">
        <f>SUMIFS('Comparación'!$F$2:$F$444,'Comparación'!$B$2:$B$444,$A13,'Comparación'!$H$2:$H$444,TRUE)</f>
        <v/>
      </c>
      <c r="F13" s="2">
        <f>SUMIFS('Comparación'!$G$2:$G$444,'Comparación'!$B$2:$B$444,$A13,'Comparación'!$H$2:$H$444,TRUE)</f>
        <v/>
      </c>
      <c r="G13" s="3">
        <f>SUMIFS('Comparación'!$L$2:$L$444,'Comparación'!$B$2:$B$444,$A13,'Comparación'!$H$2:$H$444,TRUE)/$C13</f>
        <v/>
      </c>
      <c r="H13" s="3">
        <f>SUMIFS('Comparación'!$M$2:$M$444,'Comparación'!$B$2:$B$444,$A13,'Comparación'!$H$2:$H$444,TRUE)/$C13</f>
        <v/>
      </c>
      <c r="I13" s="3">
        <f>SUMIFS('Comparación'!$N$2:$N$444,'Comparación'!$B$2:$B$444,$A13,'Comparación'!$H$2:$H$444,TRUE)/$C13</f>
        <v/>
      </c>
      <c r="J13" s="3">
        <f>1-G13</f>
        <v/>
      </c>
      <c r="K13" s="3">
        <f>1-H13</f>
        <v/>
      </c>
      <c r="L13" s="3">
        <f>1-I13</f>
        <v/>
      </c>
      <c r="M13" s="3">
        <f>D13/C13-1</f>
        <v/>
      </c>
      <c r="N13" s="3">
        <f>E13/C13-1</f>
        <v/>
      </c>
      <c r="O13" s="3">
        <f>F13/C13-1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2026-10-09T10:47:37Z</dcterms:created>
  <dcterms:modified xsi:type="dcterms:W3CDTF">2026-10-09T10:47:37Z</dcterms:modified>
</cp:coreProperties>
</file>